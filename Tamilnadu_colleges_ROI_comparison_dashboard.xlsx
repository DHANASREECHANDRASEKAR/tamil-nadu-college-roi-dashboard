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B5E6C61D-B7D9-4125-A3AA-481C82D19449}" xr6:coauthVersionLast="47" xr6:coauthVersionMax="47" xr10:uidLastSave="{00000000-0000-0000-0000-000000000000}"/>
  <bookViews>
    <workbookView xWindow="-108" yWindow="-108" windowWidth="23256" windowHeight="12456" xr2:uid="{50815C01-F229-4CB0-8ED6-9102BFC19365}"/>
  </bookViews>
  <sheets>
    <sheet name="Raw_Data" sheetId="1" r:id="rId1"/>
    <sheet name="Calculation" sheetId="6" r:id="rId2"/>
    <sheet name="District-wise college count1" sheetId="10" r:id="rId3"/>
    <sheet name="Type-wise Average placement2" sheetId="11" r:id="rId4"/>
    <sheet name="Top 10 ROI colleges3" sheetId="12" r:id="rId5"/>
    <sheet name="Type-wise Average fees4" sheetId="13" r:id="rId6"/>
    <sheet name="District-wise Average package5" sheetId="14" r:id="rId7"/>
    <sheet name="College Type-wise college count" sheetId="15" r:id="rId8"/>
    <sheet name="Dashboard" sheetId="18" r:id="rId9"/>
    <sheet name="Recommendation data_sheet" sheetId="20" r:id="rId10"/>
  </sheets>
  <definedNames>
    <definedName name="Slicer_DISTRICT1">#N/A</definedName>
    <definedName name="Slicer_NAAC_GRADE">#N/A</definedName>
    <definedName name="Slicer_TYP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0" l="1"/>
  <c r="E4" i="20"/>
  <c r="E5" i="20"/>
  <c r="E6"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2"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2" i="20"/>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2" i="20"/>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2" i="20"/>
  <c r="E3" i="6"/>
  <c r="E2"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I24" i="1"/>
  <c r="F3" i="6"/>
  <c r="K3" i="6" s="1"/>
  <c r="F4" i="6"/>
  <c r="F5" i="6"/>
  <c r="F6" i="6"/>
  <c r="F7" i="6"/>
  <c r="F8" i="6"/>
  <c r="K8" i="6" s="1"/>
  <c r="F9" i="6"/>
  <c r="K9" i="6" s="1"/>
  <c r="F10" i="6"/>
  <c r="F11" i="6"/>
  <c r="K11" i="6" s="1"/>
  <c r="F12" i="6"/>
  <c r="F13" i="6"/>
  <c r="F14" i="6"/>
  <c r="K14" i="6" s="1"/>
  <c r="F15" i="6"/>
  <c r="K15" i="6" s="1"/>
  <c r="F16" i="6"/>
  <c r="K16" i="6" s="1"/>
  <c r="F17" i="6"/>
  <c r="K17" i="6" s="1"/>
  <c r="F18" i="6"/>
  <c r="F19" i="6"/>
  <c r="K19" i="6" s="1"/>
  <c r="F20" i="6"/>
  <c r="F21" i="6"/>
  <c r="F22" i="6"/>
  <c r="K22" i="6" s="1"/>
  <c r="F23" i="6"/>
  <c r="K23" i="6" s="1"/>
  <c r="F24" i="6"/>
  <c r="K24" i="6" s="1"/>
  <c r="F25" i="6"/>
  <c r="K25" i="6" s="1"/>
  <c r="F26" i="6"/>
  <c r="K26" i="6" s="1"/>
  <c r="F27" i="6"/>
  <c r="K27" i="6" s="1"/>
  <c r="F28" i="6"/>
  <c r="F29" i="6"/>
  <c r="F30" i="6"/>
  <c r="K30" i="6" s="1"/>
  <c r="F31" i="6"/>
  <c r="K31" i="6" s="1"/>
  <c r="F2" i="6"/>
  <c r="K2" i="6" s="1"/>
  <c r="I3" i="1"/>
  <c r="I4" i="1"/>
  <c r="I5" i="1"/>
  <c r="I6" i="1"/>
  <c r="I7" i="1"/>
  <c r="I8" i="1"/>
  <c r="I9" i="1"/>
  <c r="I10" i="1"/>
  <c r="I11" i="1"/>
  <c r="I12" i="1"/>
  <c r="I13" i="1"/>
  <c r="I14" i="1"/>
  <c r="I15" i="1"/>
  <c r="I16" i="1"/>
  <c r="I17" i="1"/>
  <c r="I18" i="1"/>
  <c r="I19" i="1"/>
  <c r="I20" i="1"/>
  <c r="I21" i="1"/>
  <c r="I22" i="1"/>
  <c r="I23" i="1"/>
  <c r="I25" i="1"/>
  <c r="I26" i="1"/>
  <c r="I27" i="1"/>
  <c r="I28" i="1"/>
  <c r="I29" i="1"/>
  <c r="I30" i="1"/>
  <c r="I31" i="1"/>
  <c r="I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2" i="1"/>
  <c r="I2" i="6"/>
  <c r="L2" i="6" s="1"/>
  <c r="I3" i="6"/>
  <c r="L3" i="6" s="1"/>
  <c r="I4" i="6"/>
  <c r="L4" i="6" s="1"/>
  <c r="I5" i="6"/>
  <c r="L5" i="6" s="1"/>
  <c r="I6" i="6"/>
  <c r="L6" i="6" s="1"/>
  <c r="I7" i="6"/>
  <c r="L7" i="6" s="1"/>
  <c r="I8" i="6"/>
  <c r="L8" i="6" s="1"/>
  <c r="I9" i="6"/>
  <c r="L9" i="6" s="1"/>
  <c r="I10" i="6"/>
  <c r="L10" i="6" s="1"/>
  <c r="I11" i="6"/>
  <c r="L11" i="6" s="1"/>
  <c r="I12" i="6"/>
  <c r="L12" i="6" s="1"/>
  <c r="I13" i="6"/>
  <c r="L13" i="6" s="1"/>
  <c r="I14" i="6"/>
  <c r="L14" i="6" s="1"/>
  <c r="I15" i="6"/>
  <c r="L15" i="6" s="1"/>
  <c r="I16" i="6"/>
  <c r="L16" i="6" s="1"/>
  <c r="I17" i="6"/>
  <c r="L17" i="6" s="1"/>
  <c r="I18" i="6"/>
  <c r="L18" i="6" s="1"/>
  <c r="I19" i="6"/>
  <c r="L19" i="6" s="1"/>
  <c r="I20" i="6"/>
  <c r="L20" i="6" s="1"/>
  <c r="I21" i="6"/>
  <c r="L21" i="6" s="1"/>
  <c r="I22" i="6"/>
  <c r="L22" i="6" s="1"/>
  <c r="I23" i="6"/>
  <c r="L23" i="6" s="1"/>
  <c r="I24" i="6"/>
  <c r="L24" i="6" s="1"/>
  <c r="I25" i="6"/>
  <c r="L25" i="6" s="1"/>
  <c r="I26" i="6"/>
  <c r="L26" i="6" s="1"/>
  <c r="I27" i="6"/>
  <c r="L27" i="6" s="1"/>
  <c r="I28" i="6"/>
  <c r="L28" i="6" s="1"/>
  <c r="I29" i="6"/>
  <c r="L29" i="6" s="1"/>
  <c r="I30" i="6"/>
  <c r="L30" i="6" s="1"/>
  <c r="I31" i="6"/>
  <c r="L31" i="6" s="1"/>
  <c r="G3" i="6"/>
  <c r="H3" i="6" s="1"/>
  <c r="G4" i="6"/>
  <c r="G5" i="6"/>
  <c r="G6" i="6"/>
  <c r="G7" i="6"/>
  <c r="H7" i="6" s="1"/>
  <c r="G8" i="6"/>
  <c r="H8" i="6" s="1"/>
  <c r="G9" i="6"/>
  <c r="G10" i="6"/>
  <c r="G11" i="6"/>
  <c r="H11" i="6" s="1"/>
  <c r="G12" i="6"/>
  <c r="G13" i="6"/>
  <c r="G14" i="6"/>
  <c r="H14" i="6" s="1"/>
  <c r="G15" i="6"/>
  <c r="H15" i="6" s="1"/>
  <c r="G16" i="6"/>
  <c r="H16" i="6" s="1"/>
  <c r="G17" i="6"/>
  <c r="G18" i="6"/>
  <c r="G19" i="6"/>
  <c r="H19" i="6" s="1"/>
  <c r="G20" i="6"/>
  <c r="G21" i="6"/>
  <c r="H21" i="6" s="1"/>
  <c r="G22" i="6"/>
  <c r="H22" i="6" s="1"/>
  <c r="G23" i="6"/>
  <c r="H23" i="6" s="1"/>
  <c r="G24" i="6"/>
  <c r="H24" i="6" s="1"/>
  <c r="G25" i="6"/>
  <c r="G26" i="6"/>
  <c r="G27" i="6"/>
  <c r="H27" i="6" s="1"/>
  <c r="G28" i="6"/>
  <c r="H28" i="6" s="1"/>
  <c r="G29" i="6"/>
  <c r="G30" i="6"/>
  <c r="G31" i="6"/>
  <c r="G2" i="6"/>
  <c r="H2" i="6" s="1"/>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2" i="6"/>
  <c r="J12" i="6" l="1"/>
  <c r="J28" i="6"/>
  <c r="J27" i="6"/>
  <c r="J17" i="6"/>
  <c r="J9" i="6"/>
  <c r="J3" i="6"/>
  <c r="M6" i="6"/>
  <c r="J25" i="6"/>
  <c r="J4" i="6"/>
  <c r="J26" i="6"/>
  <c r="J18" i="6"/>
  <c r="J10" i="6"/>
  <c r="J20" i="6"/>
  <c r="H20" i="6"/>
  <c r="M7" i="6"/>
  <c r="H4" i="6"/>
  <c r="J6" i="6"/>
  <c r="M21" i="6"/>
  <c r="M5" i="6"/>
  <c r="J29" i="6"/>
  <c r="J21" i="6"/>
  <c r="J13" i="6"/>
  <c r="J5" i="6"/>
  <c r="M28" i="6"/>
  <c r="M20" i="6"/>
  <c r="M12" i="6"/>
  <c r="M4" i="6"/>
  <c r="J14" i="6"/>
  <c r="M3" i="6"/>
  <c r="H13" i="6"/>
  <c r="J19" i="6"/>
  <c r="J31" i="6"/>
  <c r="J30" i="6"/>
  <c r="M29" i="6"/>
  <c r="M26" i="6"/>
  <c r="M18" i="6"/>
  <c r="M10" i="6"/>
  <c r="H31" i="6"/>
  <c r="H12" i="6"/>
  <c r="K18" i="6"/>
  <c r="J22" i="6"/>
  <c r="M13" i="6"/>
  <c r="H30" i="6"/>
  <c r="H6" i="6"/>
  <c r="J11" i="6"/>
  <c r="H29" i="6"/>
  <c r="H5" i="6"/>
  <c r="K10" i="6"/>
  <c r="H18" i="6"/>
  <c r="J2" i="6"/>
  <c r="J16" i="6"/>
  <c r="M19" i="6"/>
  <c r="H26" i="6"/>
  <c r="H17" i="6"/>
  <c r="H9" i="6"/>
  <c r="J23" i="6"/>
  <c r="J15" i="6"/>
  <c r="J7" i="6"/>
  <c r="K6" i="6"/>
  <c r="H10" i="6"/>
  <c r="J24" i="6"/>
  <c r="J8" i="6"/>
  <c r="K7" i="6"/>
  <c r="M27" i="6"/>
  <c r="M11" i="6"/>
  <c r="H25" i="6"/>
  <c r="K29" i="6"/>
  <c r="K21" i="6"/>
  <c r="K13" i="6"/>
  <c r="K5" i="6"/>
  <c r="M25" i="6"/>
  <c r="M17" i="6"/>
  <c r="M9" i="6"/>
  <c r="K28" i="6"/>
  <c r="K20" i="6"/>
  <c r="K12" i="6"/>
  <c r="K4" i="6"/>
  <c r="M2" i="6"/>
  <c r="M24" i="6"/>
  <c r="M16" i="6"/>
  <c r="M8" i="6"/>
  <c r="M31" i="6"/>
  <c r="M23" i="6"/>
  <c r="M15" i="6"/>
  <c r="M30" i="6"/>
  <c r="M22" i="6"/>
  <c r="M14" i="6"/>
</calcChain>
</file>

<file path=xl/sharedStrings.xml><?xml version="1.0" encoding="utf-8"?>
<sst xmlns="http://schemas.openxmlformats.org/spreadsheetml/2006/main" count="537" uniqueCount="234">
  <si>
    <t>COLLEGE NAME</t>
  </si>
  <si>
    <t>DISTRICT</t>
  </si>
  <si>
    <t>TYPE</t>
  </si>
  <si>
    <t>NAAC GRADE</t>
  </si>
  <si>
    <t>NIRF RANK</t>
  </si>
  <si>
    <t>FEES PER YEAR</t>
  </si>
  <si>
    <t>TNEA CUTOFF 2026</t>
  </si>
  <si>
    <t>PLACEMENT%</t>
  </si>
  <si>
    <t>AVERAGE PACKAGE LPA</t>
  </si>
  <si>
    <t>STUDENT-FACULTY RATIO</t>
  </si>
  <si>
    <t>TIRUPUR</t>
  </si>
  <si>
    <t>PRIVATE</t>
  </si>
  <si>
    <t>PARK'S COLLEGE</t>
  </si>
  <si>
    <t>GOVERNMENT</t>
  </si>
  <si>
    <t>CHIKKANNA ARTS COLLEGE</t>
  </si>
  <si>
    <t>LOYOLA COLLEGE</t>
  </si>
  <si>
    <t>CHENNAI</t>
  </si>
  <si>
    <t>AUTONOMOUS</t>
  </si>
  <si>
    <t>COIMBATORE</t>
  </si>
  <si>
    <t>AMERICAN COLLEGE</t>
  </si>
  <si>
    <t>MADURAI</t>
  </si>
  <si>
    <t>MADRAS CHRISTIAN COLLEGE</t>
  </si>
  <si>
    <t>CHENGALPATTU</t>
  </si>
  <si>
    <t>STELLA MARIS COLLEGE</t>
  </si>
  <si>
    <t>THIAGARAJAR COLLEGE</t>
  </si>
  <si>
    <t>AMRITA VISHWA VIDYAPEETHAM</t>
  </si>
  <si>
    <t>DEEMED UNIVERSITY</t>
  </si>
  <si>
    <t>ERODE</t>
  </si>
  <si>
    <t>SATHYABAMA SCIENCE AND TECHNOLOGY</t>
  </si>
  <si>
    <t>VEL TECH</t>
  </si>
  <si>
    <t>PSG TECHNOLOGY AND APPLIED RESEARCH</t>
  </si>
  <si>
    <t>ANNA UNIVERSITY, CEG CAMPUS</t>
  </si>
  <si>
    <t>GOVERNMENT COLLEGE OF TECHNOLOGY</t>
  </si>
  <si>
    <t>BANNARI AMMAN INSTITUTE OF TECHNOLOGY</t>
  </si>
  <si>
    <t>KUMARAGURU COLLEGE OF TECHNOLOGY</t>
  </si>
  <si>
    <t>SSN COLLEGE OF ENGINEERING</t>
  </si>
  <si>
    <t>NATIONAL INSTITUTE OF TECHNOLOGY</t>
  </si>
  <si>
    <t>TIRUCHIRAPPALLI</t>
  </si>
  <si>
    <t>KALASALINGAM ACADEMY OF RESEARCH AND EDUCATION</t>
  </si>
  <si>
    <t>VIRUDHUNAGAR</t>
  </si>
  <si>
    <t>INDIAN INSTITUTE OF TECHNOLOGY MADRAS</t>
  </si>
  <si>
    <t>A.V.P COLLEGE OF ARTS AND SCIENCE</t>
  </si>
  <si>
    <t>CHERAN COLLEGE OF ARTS AND SCIENCE</t>
  </si>
  <si>
    <t>LRG COLLEGE OF ARTS AND SCIENCE FOR WOMEN</t>
  </si>
  <si>
    <t>PSG COLLEGE OF ARTS AND SCIENCE</t>
  </si>
  <si>
    <t>Dr.N.G.P COLEEGE OF ARTS AND SCIENCE</t>
  </si>
  <si>
    <t>AVINASHI GOVERNMENT ARTS AND SCIENCE COLLEGE</t>
  </si>
  <si>
    <t>A.G COLLEGE OF ARTS AND SCIENCE</t>
  </si>
  <si>
    <t>KONGUNADU COLLEGE OF ARTS  AND SCIENCE</t>
  </si>
  <si>
    <t>BUILDER ENGINEERING COLLEGE</t>
  </si>
  <si>
    <t>KPR ENGINEERING AND TECHNOLOGY COLLEGE</t>
  </si>
  <si>
    <t>A</t>
  </si>
  <si>
    <t>N/A</t>
  </si>
  <si>
    <t>1.4 LPA</t>
  </si>
  <si>
    <t>4.9 LPA</t>
  </si>
  <si>
    <t>YES</t>
  </si>
  <si>
    <t>HIGHEST PACKAGE LPA</t>
  </si>
  <si>
    <t>HOSTEL AVAILABLE YES/NO</t>
  </si>
  <si>
    <t>HOSTEL FEE</t>
  </si>
  <si>
    <t>~45,000</t>
  </si>
  <si>
    <t>NOT RANKED</t>
  </si>
  <si>
    <t>35,000 to 55,000</t>
  </si>
  <si>
    <t>NOT APPLICABLE</t>
  </si>
  <si>
    <t>18,000 to 40,000</t>
  </si>
  <si>
    <t>B+</t>
  </si>
  <si>
    <t>1,000 to 3,500</t>
  </si>
  <si>
    <t>3.50 LPA</t>
  </si>
  <si>
    <t>~2000 to 5000</t>
  </si>
  <si>
    <t>B++</t>
  </si>
  <si>
    <t>201-300</t>
  </si>
  <si>
    <t>1,380 to 2,450</t>
  </si>
  <si>
    <t>2.5 LPA</t>
  </si>
  <si>
    <t>1000 to 2000</t>
  </si>
  <si>
    <t>A++</t>
  </si>
  <si>
    <t>45,000 to 1,70,000</t>
  </si>
  <si>
    <t>1,02,100 to 2,26,000</t>
  </si>
  <si>
    <t>19:1</t>
  </si>
  <si>
    <t>15:1</t>
  </si>
  <si>
    <t>12:1</t>
  </si>
  <si>
    <t>26:1</t>
  </si>
  <si>
    <t>28:1</t>
  </si>
  <si>
    <t>33:1</t>
  </si>
  <si>
    <t>~40,000 to 90,000</t>
  </si>
  <si>
    <t>3.83 LPA</t>
  </si>
  <si>
    <t>25:1</t>
  </si>
  <si>
    <t>58,000 to 1,500,000</t>
  </si>
  <si>
    <t>50,000 to 1,00,000</t>
  </si>
  <si>
    <t>20:1</t>
  </si>
  <si>
    <t>75,000 TO 95,000</t>
  </si>
  <si>
    <t>23,955 to 71,805</t>
  </si>
  <si>
    <t>15,000 to 25,600</t>
  </si>
  <si>
    <t>18,000 to 70,000</t>
  </si>
  <si>
    <t>3.60 LPA</t>
  </si>
  <si>
    <t>12.5:1</t>
  </si>
  <si>
    <t>19,500 to 39,000</t>
  </si>
  <si>
    <t>A+</t>
  </si>
  <si>
    <t>25,000 to 91,540</t>
  </si>
  <si>
    <t>29,800 to 82,800</t>
  </si>
  <si>
    <t>1:26</t>
  </si>
  <si>
    <t>B</t>
  </si>
  <si>
    <t>2000 to 3000</t>
  </si>
  <si>
    <t>~93:1</t>
  </si>
  <si>
    <t>NO</t>
  </si>
  <si>
    <t>15,000 to 25,000</t>
  </si>
  <si>
    <t>18:1</t>
  </si>
  <si>
    <t>40,000 to 50,000</t>
  </si>
  <si>
    <t>101-150</t>
  </si>
  <si>
    <t>35,000 to 70,000</t>
  </si>
  <si>
    <t>10.0 LPA</t>
  </si>
  <si>
    <t>40,000 to 60,000</t>
  </si>
  <si>
    <t>40,000 to 64,000</t>
  </si>
  <si>
    <t>55,000 to 87,000</t>
  </si>
  <si>
    <t>4.0 LPA</t>
  </si>
  <si>
    <t>12.0 LPA</t>
  </si>
  <si>
    <t>180-185+</t>
  </si>
  <si>
    <t>140-165</t>
  </si>
  <si>
    <t>16:1</t>
  </si>
  <si>
    <t>60,000 to 1,06,000</t>
  </si>
  <si>
    <t>1,00,000 to 6,00,000</t>
  </si>
  <si>
    <t>9.08 LPA</t>
  </si>
  <si>
    <t>80.4 LPA</t>
  </si>
  <si>
    <t>8:1</t>
  </si>
  <si>
    <t>1,14,500 to 2,12,500</t>
  </si>
  <si>
    <t>151-200</t>
  </si>
  <si>
    <t>50.0 LPA</t>
  </si>
  <si>
    <t>1,11,200 to 1,16,200</t>
  </si>
  <si>
    <t>180-188+</t>
  </si>
  <si>
    <t>50,000 to 75,000</t>
  </si>
  <si>
    <t>~173-189.5</t>
  </si>
  <si>
    <t>44 LPA</t>
  </si>
  <si>
    <t>~5:1</t>
  </si>
  <si>
    <t>36,000 to 60,000</t>
  </si>
  <si>
    <t>32.0 LPA</t>
  </si>
  <si>
    <t>~20:1</t>
  </si>
  <si>
    <t>11,700 to 12,200</t>
  </si>
  <si>
    <t>31,400 to 38,560</t>
  </si>
  <si>
    <t>187-200</t>
  </si>
  <si>
    <t>53.0 LPA</t>
  </si>
  <si>
    <t>~1:15</t>
  </si>
  <si>
    <t>1.5 to 3.5 LPA</t>
  </si>
  <si>
    <t>5.57 LPA</t>
  </si>
  <si>
    <t>41.20 LPA</t>
  </si>
  <si>
    <t>34,000 to 39,000</t>
  </si>
  <si>
    <t>2,90,000 to 3,60,000</t>
  </si>
  <si>
    <t>~15:1</t>
  </si>
  <si>
    <t>1,05,000 to 1,65,000</t>
  </si>
  <si>
    <t>2,00,000 to 2,50,000</t>
  </si>
  <si>
    <t>183-197.5</t>
  </si>
  <si>
    <t>41.13 LPA</t>
  </si>
  <si>
    <t>90,000 to 1,00,000</t>
  </si>
  <si>
    <t>2,19,500 to 2,24,500</t>
  </si>
  <si>
    <t>10.50 LPA</t>
  </si>
  <si>
    <t>89.0 LPA</t>
  </si>
  <si>
    <t>~14:1</t>
  </si>
  <si>
    <t xml:space="preserve">1.5 to 2 </t>
  </si>
  <si>
    <t>18.73 LPA</t>
  </si>
  <si>
    <t>64.0 LPA</t>
  </si>
  <si>
    <t>1:11</t>
  </si>
  <si>
    <t>35,000 to 52,000</t>
  </si>
  <si>
    <t>1,95,000 to 1,60,000</t>
  </si>
  <si>
    <t>4.50 LPA</t>
  </si>
  <si>
    <t>14:1</t>
  </si>
  <si>
    <t>80,000 to 87,000</t>
  </si>
  <si>
    <t>~2.2 to 2.53</t>
  </si>
  <si>
    <t>4.3 Cr</t>
  </si>
  <si>
    <t>1:14</t>
  </si>
  <si>
    <t>60,000 to 80,000</t>
  </si>
  <si>
    <t>175+</t>
  </si>
  <si>
    <t>140+</t>
  </si>
  <si>
    <t>~1,24,150</t>
  </si>
  <si>
    <t>~9,69,000</t>
  </si>
  <si>
    <t>199+</t>
  </si>
  <si>
    <t>PAYBACK RATIO</t>
  </si>
  <si>
    <t>FEES CATEGORY</t>
  </si>
  <si>
    <t>PLACEMENT CATEGORY</t>
  </si>
  <si>
    <t>RECOMMENDATION</t>
  </si>
  <si>
    <t>TOTAL 3/4 YEAR COST</t>
  </si>
  <si>
    <t>PACKAGE_NUMBER</t>
  </si>
  <si>
    <t xml:space="preserve"> 1.29 LPA</t>
  </si>
  <si>
    <t>3.0 LPA</t>
  </si>
  <si>
    <t xml:space="preserve"> 1.5 LPA</t>
  </si>
  <si>
    <t>1.84 LPA</t>
  </si>
  <si>
    <t xml:space="preserve"> 6.34 LPA</t>
  </si>
  <si>
    <t>3.7 LPA</t>
  </si>
  <si>
    <t>2.10 LPA</t>
  </si>
  <si>
    <t xml:space="preserve"> 4.60 LPA</t>
  </si>
  <si>
    <t xml:space="preserve"> 1.56 LPA</t>
  </si>
  <si>
    <t xml:space="preserve"> 4.0 LPA</t>
  </si>
  <si>
    <t xml:space="preserve"> 3.4 LPA</t>
  </si>
  <si>
    <t>5.20 LPA</t>
  </si>
  <si>
    <t xml:space="preserve"> 5.70 LPA</t>
  </si>
  <si>
    <t>5.16 LPA</t>
  </si>
  <si>
    <t xml:space="preserve"> 6.0 LPA</t>
  </si>
  <si>
    <t xml:space="preserve"> 9.84 LPA</t>
  </si>
  <si>
    <t>5.5 LPA</t>
  </si>
  <si>
    <t xml:space="preserve"> 7.96 LPA</t>
  </si>
  <si>
    <t xml:space="preserve"> 24.2 LPA</t>
  </si>
  <si>
    <t>5.0 LPA</t>
  </si>
  <si>
    <t>22.5 LPA</t>
  </si>
  <si>
    <t>14 LPA</t>
  </si>
  <si>
    <t xml:space="preserve"> 10.0 LPA</t>
  </si>
  <si>
    <t>9.0 LPA</t>
  </si>
  <si>
    <t xml:space="preserve"> 12.50 LPA</t>
  </si>
  <si>
    <t>2.50 LPA</t>
  </si>
  <si>
    <t xml:space="preserve"> 3.5 LPA</t>
  </si>
  <si>
    <t>9.8 LPA</t>
  </si>
  <si>
    <t xml:space="preserve"> 54 LPA</t>
  </si>
  <si>
    <t xml:space="preserve"> 47 LPA</t>
  </si>
  <si>
    <t>TOTAL MIN 3/4 YEAR COST</t>
  </si>
  <si>
    <t>TOTAL MAX 3/4 YEARS COST</t>
  </si>
  <si>
    <t>TOTAL AVERAGE COST</t>
  </si>
  <si>
    <t>HEADING PACKAGE</t>
  </si>
  <si>
    <t>NANDHA ENGINEERING COLLEGE</t>
  </si>
  <si>
    <t>1,50,000 to 1,72,000</t>
  </si>
  <si>
    <t>150-175</t>
  </si>
  <si>
    <t>4.14 LPA</t>
  </si>
  <si>
    <t>12 LPA</t>
  </si>
  <si>
    <t>35,000 to 40,000</t>
  </si>
  <si>
    <t>49</t>
  </si>
  <si>
    <t>Row Labels</t>
  </si>
  <si>
    <t>Grand Total</t>
  </si>
  <si>
    <t>Count of COLLEGE NAME</t>
  </si>
  <si>
    <t>Column Labels</t>
  </si>
  <si>
    <t>(blank)</t>
  </si>
  <si>
    <t>(All)</t>
  </si>
  <si>
    <t>Average of PLACEMENT%</t>
  </si>
  <si>
    <t>Average of PAYBACK RATIO</t>
  </si>
  <si>
    <t>Average of TOTAL 3/4 YEAR COST</t>
  </si>
  <si>
    <t>Average of HEADING PACKAGE</t>
  </si>
  <si>
    <t>TAMIL NADU COLLEGE ROI COMPARISON DASHBOARD</t>
  </si>
  <si>
    <t>TOTAL 3/4 COST</t>
  </si>
  <si>
    <t>FINAL DECISION</t>
  </si>
  <si>
    <t>COMPARE MORE</t>
  </si>
  <si>
    <t>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</si>
</sst>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Calibri"/>
      <family val="2"/>
      <scheme val="minor"/>
    </font>
    <font>
      <b/>
      <sz val="12"/>
      <color theme="1"/>
      <name val="Times New Roman"/>
      <family val="1"/>
    </font>
    <font>
      <b/>
      <sz val="12"/>
      <color theme="1"/>
      <name val="Calibri"/>
      <family val="2"/>
      <scheme val="minor"/>
    </font>
    <font>
      <sz val="8"/>
      <name val="Calibri"/>
      <family val="2"/>
      <scheme val="minor"/>
    </font>
    <font>
      <sz val="14"/>
      <color theme="1"/>
      <name val="Times New Roman"/>
      <family val="1"/>
    </font>
  </fonts>
  <fills count="7">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center"/>
    </xf>
    <xf numFmtId="49" fontId="1" fillId="2" borderId="0" xfId="0" applyNumberFormat="1" applyFont="1" applyFill="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0" fillId="0" borderId="0" xfId="0" applyNumberFormat="1"/>
    <xf numFmtId="2" fontId="1" fillId="2" borderId="0" xfId="0" applyNumberFormat="1" applyFont="1" applyFill="1" applyAlignment="1">
      <alignment horizontal="center"/>
    </xf>
    <xf numFmtId="2" fontId="0" fillId="0" borderId="0" xfId="0" applyNumberFormat="1" applyAlignment="1">
      <alignment horizontal="center"/>
    </xf>
    <xf numFmtId="20" fontId="0" fillId="0" borderId="0" xfId="0" quotePrefix="1" applyNumberFormat="1" applyAlignment="1">
      <alignment horizontal="center"/>
    </xf>
    <xf numFmtId="46" fontId="0" fillId="0" borderId="0" xfId="0" quotePrefix="1" applyNumberFormat="1" applyAlignment="1">
      <alignment horizontal="center"/>
    </xf>
    <xf numFmtId="164" fontId="1" fillId="2" borderId="0" xfId="0" applyNumberFormat="1" applyFont="1" applyFill="1" applyAlignment="1">
      <alignment horizontal="center"/>
    </xf>
    <xf numFmtId="164" fontId="0" fillId="0" borderId="0" xfId="0" applyNumberFormat="1" applyAlignment="1">
      <alignment horizontal="center"/>
    </xf>
    <xf numFmtId="0" fontId="0" fillId="0" borderId="0" xfId="0" quotePrefix="1" applyAlignment="1">
      <alignment horizontal="center"/>
    </xf>
    <xf numFmtId="2" fontId="0" fillId="0" borderId="0" xfId="0" applyNumberFormat="1"/>
    <xf numFmtId="1" fontId="1" fillId="2" borderId="0" xfId="0" applyNumberFormat="1" applyFont="1" applyFill="1" applyAlignment="1">
      <alignment horizontal="center"/>
    </xf>
    <xf numFmtId="1" fontId="0" fillId="0" borderId="0" xfId="0" applyNumberFormat="1" applyAlignment="1">
      <alignment horizontal="center"/>
    </xf>
    <xf numFmtId="1" fontId="0" fillId="0" borderId="0" xfId="0" applyNumberFormat="1"/>
    <xf numFmtId="164" fontId="0" fillId="0" borderId="0" xfId="0" applyNumberFormat="1"/>
    <xf numFmtId="165" fontId="1" fillId="2" borderId="0" xfId="0" applyNumberFormat="1" applyFont="1" applyFill="1" applyAlignment="1">
      <alignment horizontal="center"/>
    </xf>
    <xf numFmtId="165"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xf>
    <xf numFmtId="0" fontId="0" fillId="2" borderId="0" xfId="0" applyFill="1"/>
    <xf numFmtId="165" fontId="0" fillId="0" borderId="0" xfId="0" applyNumberFormat="1"/>
    <xf numFmtId="1" fontId="0" fillId="0" borderId="0" xfId="0" quotePrefix="1" applyNumberFormat="1" applyAlignment="1">
      <alignment horizontal="center"/>
    </xf>
    <xf numFmtId="0" fontId="2" fillId="3" borderId="0" xfId="0" applyFont="1" applyFill="1" applyAlignment="1">
      <alignment horizontal="center"/>
    </xf>
    <xf numFmtId="165" fontId="2" fillId="3" borderId="0" xfId="0" applyNumberFormat="1" applyFont="1" applyFill="1" applyAlignment="1">
      <alignment horizontal="center"/>
    </xf>
    <xf numFmtId="2" fontId="2" fillId="3" borderId="0" xfId="0" applyNumberFormat="1" applyFont="1" applyFill="1" applyAlignment="1">
      <alignment horizontal="center"/>
    </xf>
    <xf numFmtId="1" fontId="2" fillId="3" borderId="0" xfId="0" applyNumberFormat="1" applyFont="1" applyFill="1" applyAlignment="1">
      <alignment horizontal="center"/>
    </xf>
    <xf numFmtId="0" fontId="0" fillId="0" borderId="0" xfId="0" pivotButton="1"/>
    <xf numFmtId="0" fontId="0" fillId="0" borderId="0" xfId="0" applyAlignment="1">
      <alignment horizontal="left"/>
    </xf>
    <xf numFmtId="0" fontId="0" fillId="4" borderId="0" xfId="0" applyFill="1"/>
    <xf numFmtId="0" fontId="2" fillId="6" borderId="0" xfId="0" applyFont="1" applyFill="1" applyAlignment="1">
      <alignment horizontal="center"/>
    </xf>
    <xf numFmtId="0" fontId="4" fillId="5" borderId="0" xfId="0" applyFont="1" applyFill="1" applyAlignment="1">
      <alignment horizontal="center"/>
    </xf>
  </cellXfs>
  <cellStyles count="1">
    <cellStyle name="Normal" xfId="0" builtinId="0"/>
  </cellStyles>
  <dxfs count="3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numFmt numFmtId="165" formatCode="&quot;₹&quot;\ #,##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[Tamilnadu_colleges_ROI_comparison_dashboard.xlsx]District-wise college count1!Pivot_Analysis</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'District-wise college count1'!$B$3:$B$4</c:f>
              <c:strCache>
                <c:ptCount val="1"/>
                <c:pt idx="0">
                  <c:v>AUTONOMOUS</c:v>
                </c:pt>
              </c:strCache>
            </c:strRef>
          </c:tx>
          <c:spPr>
            <a:solidFill>
              <a:schemeClr val="accent1"/>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count1'!$B$5:$B$14</c:f>
              <c:numCache>
                <c:formatCode>General</c:formatCode>
                <c:ptCount val="9"/>
                <c:pt idx="0">
                  <c:v>2</c:v>
                </c:pt>
                <c:pt idx="1">
                  <c:v>2</c:v>
                </c:pt>
                <c:pt idx="2">
                  <c:v>6</c:v>
                </c:pt>
                <c:pt idx="3">
                  <c:v>2</c:v>
                </c:pt>
                <c:pt idx="4">
                  <c:v>2</c:v>
                </c:pt>
                <c:pt idx="6">
                  <c:v>1</c:v>
                </c:pt>
              </c:numCache>
            </c:numRef>
          </c:val>
          <c:extLst>
            <c:ext xmlns:c16="http://schemas.microsoft.com/office/drawing/2014/chart" uri="{C3380CC4-5D6E-409C-BE32-E72D297353CC}">
              <c16:uniqueId val="{00000000-CB99-4791-9828-B9E9464189BA}"/>
            </c:ext>
          </c:extLst>
        </c:ser>
        <c:ser>
          <c:idx val="1"/>
          <c:order val="1"/>
          <c:tx>
            <c:strRef>
              <c:f>'District-wise college count1'!$C$3:$C$4</c:f>
              <c:strCache>
                <c:ptCount val="1"/>
                <c:pt idx="0">
                  <c:v>DEEMED UNIVERSITY</c:v>
                </c:pt>
              </c:strCache>
            </c:strRef>
          </c:tx>
          <c:spPr>
            <a:solidFill>
              <a:schemeClr val="accent2"/>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count1'!$C$5:$C$14</c:f>
              <c:numCache>
                <c:formatCode>General</c:formatCode>
                <c:ptCount val="9"/>
                <c:pt idx="1">
                  <c:v>2</c:v>
                </c:pt>
                <c:pt idx="2">
                  <c:v>1</c:v>
                </c:pt>
                <c:pt idx="7">
                  <c:v>1</c:v>
                </c:pt>
              </c:numCache>
            </c:numRef>
          </c:val>
          <c:extLst>
            <c:ext xmlns:c16="http://schemas.microsoft.com/office/drawing/2014/chart" uri="{C3380CC4-5D6E-409C-BE32-E72D297353CC}">
              <c16:uniqueId val="{00000018-CB99-4791-9828-B9E9464189BA}"/>
            </c:ext>
          </c:extLst>
        </c:ser>
        <c:ser>
          <c:idx val="2"/>
          <c:order val="2"/>
          <c:tx>
            <c:strRef>
              <c:f>'District-wise college count1'!$D$3:$D$4</c:f>
              <c:strCache>
                <c:ptCount val="1"/>
                <c:pt idx="0">
                  <c:v>GOVERNMENT</c:v>
                </c:pt>
              </c:strCache>
            </c:strRef>
          </c:tx>
          <c:spPr>
            <a:solidFill>
              <a:schemeClr val="accent3"/>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count1'!$D$5:$D$14</c:f>
              <c:numCache>
                <c:formatCode>General</c:formatCode>
                <c:ptCount val="9"/>
                <c:pt idx="1">
                  <c:v>2</c:v>
                </c:pt>
                <c:pt idx="2">
                  <c:v>1</c:v>
                </c:pt>
                <c:pt idx="5">
                  <c:v>1</c:v>
                </c:pt>
                <c:pt idx="6">
                  <c:v>3</c:v>
                </c:pt>
              </c:numCache>
            </c:numRef>
          </c:val>
          <c:extLst>
            <c:ext xmlns:c16="http://schemas.microsoft.com/office/drawing/2014/chart" uri="{C3380CC4-5D6E-409C-BE32-E72D297353CC}">
              <c16:uniqueId val="{00000019-CB99-4791-9828-B9E9464189BA}"/>
            </c:ext>
          </c:extLst>
        </c:ser>
        <c:ser>
          <c:idx val="3"/>
          <c:order val="3"/>
          <c:tx>
            <c:strRef>
              <c:f>'District-wise college count1'!$E$3:$E$4</c:f>
              <c:strCache>
                <c:ptCount val="1"/>
                <c:pt idx="0">
                  <c:v>PRIVATE</c:v>
                </c:pt>
              </c:strCache>
            </c:strRef>
          </c:tx>
          <c:spPr>
            <a:solidFill>
              <a:schemeClr val="accent4"/>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count1'!$E$5:$E$14</c:f>
              <c:numCache>
                <c:formatCode>General</c:formatCode>
                <c:ptCount val="9"/>
                <c:pt idx="6">
                  <c:v>4</c:v>
                </c:pt>
              </c:numCache>
            </c:numRef>
          </c:val>
          <c:extLst>
            <c:ext xmlns:c16="http://schemas.microsoft.com/office/drawing/2014/chart" uri="{C3380CC4-5D6E-409C-BE32-E72D297353CC}">
              <c16:uniqueId val="{0000001A-CB99-4791-9828-B9E9464189BA}"/>
            </c:ext>
          </c:extLst>
        </c:ser>
        <c:ser>
          <c:idx val="4"/>
          <c:order val="4"/>
          <c:tx>
            <c:strRef>
              <c:f>'District-wise college count1'!$F$3:$F$4</c:f>
              <c:strCache>
                <c:ptCount val="1"/>
                <c:pt idx="0">
                  <c:v>(blank)</c:v>
                </c:pt>
              </c:strCache>
            </c:strRef>
          </c:tx>
          <c:spPr>
            <a:solidFill>
              <a:schemeClr val="accent5"/>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count1'!$F$5:$F$14</c:f>
              <c:numCache>
                <c:formatCode>General</c:formatCode>
                <c:ptCount val="9"/>
              </c:numCache>
            </c:numRef>
          </c:val>
          <c:extLst>
            <c:ext xmlns:c16="http://schemas.microsoft.com/office/drawing/2014/chart" uri="{C3380CC4-5D6E-409C-BE32-E72D297353CC}">
              <c16:uniqueId val="{0000001B-CB99-4791-9828-B9E9464189BA}"/>
            </c:ext>
          </c:extLst>
        </c:ser>
        <c:dLbls>
          <c:showLegendKey val="0"/>
          <c:showVal val="0"/>
          <c:showCatName val="0"/>
          <c:showSerName val="0"/>
          <c:showPercent val="0"/>
          <c:showBubbleSize val="0"/>
        </c:dLbls>
        <c:gapWidth val="219"/>
        <c:overlap val="-27"/>
        <c:axId val="1363149344"/>
        <c:axId val="1363151744"/>
      </c:barChart>
      <c:catAx>
        <c:axId val="136314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1744"/>
        <c:crosses val="autoZero"/>
        <c:auto val="1"/>
        <c:lblAlgn val="ctr"/>
        <c:lblOffset val="100"/>
        <c:noMultiLvlLbl val="0"/>
      </c:catAx>
      <c:valAx>
        <c:axId val="13631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4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[Tamilnadu_colleges_ROI_comparison_dashboard.xlsx]Type-wise Average placement2!PivotTable4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'Type-wise Average placement2'!$B$3</c:f>
              <c:strCache>
                <c:ptCount val="1"/>
                <c:pt idx="0">
                  <c:v>Total</c:v>
                </c:pt>
              </c:strCache>
            </c:strRef>
          </c:tx>
          <c:spPr>
            <a:solidFill>
              <a:schemeClr val="accent1"/>
            </a:solidFill>
            <a:ln>
              <a:noFill/>
            </a:ln>
            <a:effectLst/>
          </c:spPr>
          <c:invertIfNegative val="0"/>
          <c:cat>
            <c:strRef>
              <c:f>'Type-wise Average placement2'!$A$4:$A$9</c:f>
              <c:strCache>
                <c:ptCount val="5"/>
                <c:pt idx="0">
                  <c:v>AUTONOMOUS</c:v>
                </c:pt>
                <c:pt idx="1">
                  <c:v>DEEMED UNIVERSITY</c:v>
                </c:pt>
                <c:pt idx="2">
                  <c:v>GOVERNMENT</c:v>
                </c:pt>
                <c:pt idx="3">
                  <c:v>PRIVATE</c:v>
                </c:pt>
                <c:pt idx="4">
                  <c:v>(blank)</c:v>
                </c:pt>
              </c:strCache>
            </c:strRef>
          </c:cat>
          <c:val>
            <c:numRef>
              <c:f>'Type-wise Average placement2'!$B$4:$B$9</c:f>
              <c:numCache>
                <c:formatCode>General</c:formatCode>
                <c:ptCount val="5"/>
                <c:pt idx="0">
                  <c:v>83.8</c:v>
                </c:pt>
                <c:pt idx="1">
                  <c:v>86</c:v>
                </c:pt>
                <c:pt idx="2">
                  <c:v>76.142857142857139</c:v>
                </c:pt>
                <c:pt idx="3">
                  <c:v>75.125</c:v>
                </c:pt>
              </c:numCache>
            </c:numRef>
          </c:val>
          <c:extLst>
            <c:ext xmlns:c16="http://schemas.microsoft.com/office/drawing/2014/chart" uri="{C3380CC4-5D6E-409C-BE32-E72D297353CC}">
              <c16:uniqueId val="{00000000-E1BE-40F2-81C4-FC57CF957CAA}"/>
            </c:ext>
          </c:extLst>
        </c:ser>
        <c:dLbls>
          <c:showLegendKey val="0"/>
          <c:showVal val="0"/>
          <c:showCatName val="0"/>
          <c:showSerName val="0"/>
          <c:showPercent val="0"/>
          <c:showBubbleSize val="0"/>
        </c:dLbls>
        <c:gapWidth val="182"/>
        <c:axId val="1363159424"/>
        <c:axId val="1363148864"/>
      </c:barChart>
      <c:catAx>
        <c:axId val="136315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48864"/>
        <c:crosses val="autoZero"/>
        <c:auto val="1"/>
        <c:lblAlgn val="ctr"/>
        <c:lblOffset val="100"/>
        <c:noMultiLvlLbl val="0"/>
      </c:catAx>
      <c:valAx>
        <c:axId val="1363148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[Tamilnadu_colleges_ROI_comparison_dashboard.xlsx]Top 10 ROI colleges3!PivotTable5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ROI colleges3'!$B$4</c:f>
              <c:strCache>
                <c:ptCount val="1"/>
                <c:pt idx="0">
                  <c:v>Total</c:v>
                </c:pt>
              </c:strCache>
            </c:strRef>
          </c:tx>
          <c:spPr>
            <a:solidFill>
              <a:schemeClr val="accent1"/>
            </a:solidFill>
            <a:ln>
              <a:noFill/>
            </a:ln>
            <a:effectLst/>
          </c:spPr>
          <c:invertIfNegative val="0"/>
          <c:cat>
            <c:strRef>
              <c:f>'Top 10 ROI colleges3'!$A$5:$A$35</c:f>
              <c:strCache>
                <c:ptCount val="30"/>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strCache>
            </c:strRef>
          </c:cat>
          <c:val>
            <c:numRef>
              <c:f>'Top 10 ROI colleges3'!$B$5:$B$35</c:f>
              <c:numCache>
                <c:formatCode>General</c:formatCode>
                <c:ptCount val="30"/>
                <c:pt idx="0">
                  <c:v>2.5</c:v>
                </c:pt>
                <c:pt idx="1">
                  <c:v>0.17665615141955837</c:v>
                </c:pt>
                <c:pt idx="2">
                  <c:v>1.4634146341463414</c:v>
                </c:pt>
                <c:pt idx="3">
                  <c:v>5.3099415204678362</c:v>
                </c:pt>
                <c:pt idx="4">
                  <c:v>5.7678780773739744</c:v>
                </c:pt>
                <c:pt idx="5">
                  <c:v>20.8</c:v>
                </c:pt>
                <c:pt idx="6">
                  <c:v>2.0640000000000001</c:v>
                </c:pt>
                <c:pt idx="7">
                  <c:v>1.408450704225352</c:v>
                </c:pt>
                <c:pt idx="8">
                  <c:v>2.8571428571428572</c:v>
                </c:pt>
                <c:pt idx="9">
                  <c:v>32.027850304612706</c:v>
                </c:pt>
                <c:pt idx="10">
                  <c:v>1.6444444444444444</c:v>
                </c:pt>
                <c:pt idx="11">
                  <c:v>1.2676949080921192</c:v>
                </c:pt>
                <c:pt idx="12">
                  <c:v>2.6390403489640133</c:v>
                </c:pt>
                <c:pt idx="13">
                  <c:v>0.63380281690140849</c:v>
                </c:pt>
                <c:pt idx="14">
                  <c:v>2.5806451612903225</c:v>
                </c:pt>
                <c:pt idx="15">
                  <c:v>1.5125072716695753</c:v>
                </c:pt>
                <c:pt idx="16">
                  <c:v>1.2530226423389756</c:v>
                </c:pt>
                <c:pt idx="17">
                  <c:v>1.9720062208398135</c:v>
                </c:pt>
                <c:pt idx="18">
                  <c:v>23.80952380952381</c:v>
                </c:pt>
                <c:pt idx="19">
                  <c:v>2.4509803921568629</c:v>
                </c:pt>
                <c:pt idx="20">
                  <c:v>0.79922779922779907</c:v>
                </c:pt>
                <c:pt idx="21">
                  <c:v>2.0526027397260274</c:v>
                </c:pt>
                <c:pt idx="22">
                  <c:v>1.0078125</c:v>
                </c:pt>
                <c:pt idx="23">
                  <c:v>1.964102564102564</c:v>
                </c:pt>
                <c:pt idx="24">
                  <c:v>1.4472727272727273</c:v>
                </c:pt>
                <c:pt idx="25">
                  <c:v>0.55148514851485153</c:v>
                </c:pt>
                <c:pt idx="26">
                  <c:v>1.1797752808988764</c:v>
                </c:pt>
                <c:pt idx="27">
                  <c:v>2.7878787878787876</c:v>
                </c:pt>
                <c:pt idx="28">
                  <c:v>2.1794871794871793</c:v>
                </c:pt>
                <c:pt idx="29">
                  <c:v>0.39568345323741005</c:v>
                </c:pt>
              </c:numCache>
            </c:numRef>
          </c:val>
          <c:extLst>
            <c:ext xmlns:c16="http://schemas.microsoft.com/office/drawing/2014/chart" uri="{C3380CC4-5D6E-409C-BE32-E72D297353CC}">
              <c16:uniqueId val="{00000000-DF93-42E7-82E6-B331023AF395}"/>
            </c:ext>
          </c:extLst>
        </c:ser>
        <c:dLbls>
          <c:showLegendKey val="0"/>
          <c:showVal val="0"/>
          <c:showCatName val="0"/>
          <c:showSerName val="0"/>
          <c:showPercent val="0"/>
          <c:showBubbleSize val="0"/>
        </c:dLbls>
        <c:gapWidth val="182"/>
        <c:axId val="1363188224"/>
        <c:axId val="1363173344"/>
      </c:barChart>
      <c:catAx>
        <c:axId val="13631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73344"/>
        <c:crosses val="autoZero"/>
        <c:auto val="1"/>
        <c:lblAlgn val="ctr"/>
        <c:lblOffset val="100"/>
        <c:noMultiLvlLbl val="0"/>
      </c:catAx>
      <c:valAx>
        <c:axId val="136317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[Tamilnadu_colleges_ROI_comparison_dashboard.xlsx]Type-wise Average fees4!PivotTable6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'Type-wise Average fees4'!$B$4</c:f>
              <c:strCache>
                <c:ptCount val="1"/>
                <c:pt idx="0">
                  <c:v>Total</c:v>
                </c:pt>
              </c:strCache>
            </c:strRef>
          </c:tx>
          <c:spPr>
            <a:solidFill>
              <a:schemeClr val="accent1"/>
            </a:solidFill>
            <a:ln>
              <a:noFill/>
            </a:ln>
            <a:effectLst/>
          </c:spPr>
          <c:invertIfNegative val="0"/>
          <c:cat>
            <c:strRef>
              <c:f>'Type-wise Average fees4'!$A$5:$A$10</c:f>
              <c:strCache>
                <c:ptCount val="5"/>
                <c:pt idx="0">
                  <c:v>AUTONOMOUS</c:v>
                </c:pt>
                <c:pt idx="1">
                  <c:v>DEEMED UNIVERSITY</c:v>
                </c:pt>
                <c:pt idx="2">
                  <c:v>GOVERNMENT</c:v>
                </c:pt>
                <c:pt idx="3">
                  <c:v>PRIVATE</c:v>
                </c:pt>
                <c:pt idx="4">
                  <c:v>(blank)</c:v>
                </c:pt>
              </c:strCache>
            </c:strRef>
          </c:cat>
          <c:val>
            <c:numRef>
              <c:f>'Type-wise Average fees4'!$B$5:$B$10</c:f>
              <c:numCache>
                <c:formatCode>General</c:formatCode>
                <c:ptCount val="5"/>
                <c:pt idx="0">
                  <c:v>319905.33333333331</c:v>
                </c:pt>
                <c:pt idx="1">
                  <c:v>820250</c:v>
                </c:pt>
                <c:pt idx="2">
                  <c:v>356135</c:v>
                </c:pt>
                <c:pt idx="3">
                  <c:v>271375</c:v>
                </c:pt>
              </c:numCache>
            </c:numRef>
          </c:val>
          <c:extLst>
            <c:ext xmlns:c16="http://schemas.microsoft.com/office/drawing/2014/chart" uri="{C3380CC4-5D6E-409C-BE32-E72D297353CC}">
              <c16:uniqueId val="{00000000-BAD0-45F2-8865-CD133481FEC4}"/>
            </c:ext>
          </c:extLst>
        </c:ser>
        <c:dLbls>
          <c:showLegendKey val="0"/>
          <c:showVal val="0"/>
          <c:showCatName val="0"/>
          <c:showSerName val="0"/>
          <c:showPercent val="0"/>
          <c:showBubbleSize val="0"/>
        </c:dLbls>
        <c:gapWidth val="150"/>
        <c:overlap val="100"/>
        <c:axId val="1363179584"/>
        <c:axId val="1363196384"/>
      </c:barChart>
      <c:catAx>
        <c:axId val="136317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96384"/>
        <c:crosses val="autoZero"/>
        <c:auto val="1"/>
        <c:lblAlgn val="ctr"/>
        <c:lblOffset val="100"/>
        <c:noMultiLvlLbl val="0"/>
      </c:catAx>
      <c:valAx>
        <c:axId val="13631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[Tamilnadu_colleges_ROI_comparison_dashboard.xlsx]District-wise Average package5!PivotTable7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'District-wise Average package5'!$B$4</c:f>
              <c:strCache>
                <c:ptCount val="1"/>
                <c:pt idx="0">
                  <c:v>Total</c:v>
                </c:pt>
              </c:strCache>
            </c:strRef>
          </c:tx>
          <c:spPr>
            <a:solidFill>
              <a:schemeClr val="accent1"/>
            </a:solidFill>
            <a:ln>
              <a:noFill/>
            </a:ln>
            <a:effectLst/>
          </c:spPr>
          <c:invertIfNegative val="0"/>
          <c:cat>
            <c:strRef>
              <c:f>'District-wise Average package5'!$A$5:$A$14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Average package5'!$B$5:$B$14</c:f>
              <c:numCache>
                <c:formatCode>General</c:formatCode>
                <c:ptCount val="9"/>
                <c:pt idx="0">
                  <c:v>7.05</c:v>
                </c:pt>
                <c:pt idx="1">
                  <c:v>9.3416666666666668</c:v>
                </c:pt>
                <c:pt idx="2">
                  <c:v>5.6837500000000007</c:v>
                </c:pt>
                <c:pt idx="3">
                  <c:v>4.6500000000000004</c:v>
                </c:pt>
                <c:pt idx="4">
                  <c:v>2.75</c:v>
                </c:pt>
                <c:pt idx="5">
                  <c:v>18.73</c:v>
                </c:pt>
                <c:pt idx="6">
                  <c:v>2.01125</c:v>
                </c:pt>
                <c:pt idx="7">
                  <c:v>4.5</c:v>
                </c:pt>
              </c:numCache>
            </c:numRef>
          </c:val>
          <c:extLst>
            <c:ext xmlns:c16="http://schemas.microsoft.com/office/drawing/2014/chart" uri="{C3380CC4-5D6E-409C-BE32-E72D297353CC}">
              <c16:uniqueId val="{00000000-9499-446F-8046-D2E1667D3366}"/>
            </c:ext>
          </c:extLst>
        </c:ser>
        <c:dLbls>
          <c:showLegendKey val="0"/>
          <c:showVal val="0"/>
          <c:showCatName val="0"/>
          <c:showSerName val="0"/>
          <c:showPercent val="0"/>
          <c:showBubbleSize val="0"/>
        </c:dLbls>
        <c:gapWidth val="182"/>
        <c:axId val="1363156064"/>
        <c:axId val="1363158464"/>
      </c:barChart>
      <c:catAx>
        <c:axId val="136315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8464"/>
        <c:crosses val="autoZero"/>
        <c:auto val="1"/>
        <c:lblAlgn val="ctr"/>
        <c:lblOffset val="100"/>
        <c:noMultiLvlLbl val="0"/>
      </c:catAx>
      <c:valAx>
        <c:axId val="136315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[Tamilnadu_colleges_ROI_comparison_dashboard.xlsx]College Type-wise college count!PivotTable8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s>
    <c:plotArea>
      <c:layout/>
      <c:pieChart>
        <c:varyColors val="1"/>
        <c:ser>
          <c:idx val="0"/>
          <c:order val="0"/>
          <c:tx>
            <c:strRef>
              <c:f>'College Type-wise college count'!$B$3:$B$4</c:f>
              <c:strCache>
                <c:ptCount val="1"/>
                <c:pt idx="0">
                  <c:v>AUTONOMOUS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9-4BDB-B266-6DBBA51C1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9-4BDB-B266-6DBBA51C1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9-4BDB-B266-6DBBA51C1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69-4BDB-B266-6DBBA51C16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69-4BDB-B266-6DBBA51C16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69-4BDB-B266-6DBBA51C16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69-4BDB-B266-6DBBA51C16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69-4BDB-B266-6DBBA51C16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69-4BDB-B266-6DBBA51C16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F69-4BDB-B266-6DBBA51C16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F69-4BDB-B266-6DBBA51C16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F69-4BDB-B266-6DBBA51C16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F69-4BDB-B266-6DBBA51C16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F69-4BDB-B266-6DBBA51C16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F69-4BDB-B266-6DBBA51C16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F69-4BDB-B266-6DBBA51C16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F69-4BDB-B266-6DBBA51C16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F69-4BDB-B266-6DBBA51C16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F69-4BDB-B266-6DBBA51C16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F69-4BDB-B266-6DBBA51C16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F69-4BDB-B266-6DBBA51C16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F69-4BDB-B266-6DBBA51C16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F69-4BDB-B266-6DBBA51C16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F69-4BDB-B266-6DBBA51C160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F69-4BDB-B266-6DBBA51C160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F69-4BDB-B266-6DBBA51C160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F69-4BDB-B266-6DBBA51C160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F69-4BDB-B266-6DBBA51C160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F69-4BDB-B266-6DBBA51C160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F69-4BDB-B266-6DBBA51C160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F69-4BDB-B266-6DBBA51C160E}"/>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count'!$B$5:$B$36</c:f>
              <c:numCache>
                <c:formatCode>General</c:formatCode>
                <c:ptCount val="31"/>
                <c:pt idx="2">
                  <c:v>1</c:v>
                </c:pt>
                <c:pt idx="6">
                  <c:v>1</c:v>
                </c:pt>
                <c:pt idx="7">
                  <c:v>1</c:v>
                </c:pt>
                <c:pt idx="10">
                  <c:v>1</c:v>
                </c:pt>
                <c:pt idx="14">
                  <c:v>1</c:v>
                </c:pt>
                <c:pt idx="15">
                  <c:v>1</c:v>
                </c:pt>
                <c:pt idx="16">
                  <c:v>1</c:v>
                </c:pt>
                <c:pt idx="17">
                  <c:v>1</c:v>
                </c:pt>
                <c:pt idx="19">
                  <c:v>1</c:v>
                </c:pt>
                <c:pt idx="20">
                  <c:v>1</c:v>
                </c:pt>
                <c:pt idx="23">
                  <c:v>1</c:v>
                </c:pt>
                <c:pt idx="24">
                  <c:v>1</c:v>
                </c:pt>
                <c:pt idx="26">
                  <c:v>1</c:v>
                </c:pt>
                <c:pt idx="27">
                  <c:v>1</c:v>
                </c:pt>
                <c:pt idx="28">
                  <c:v>1</c:v>
                </c:pt>
              </c:numCache>
            </c:numRef>
          </c:val>
          <c:extLst>
            <c:ext xmlns:c16="http://schemas.microsoft.com/office/drawing/2014/chart" uri="{C3380CC4-5D6E-409C-BE32-E72D297353CC}">
              <c16:uniqueId val="{00000000-C8D4-48D3-BED5-4182D0C88FE9}"/>
            </c:ext>
          </c:extLst>
        </c:ser>
        <c:ser>
          <c:idx val="1"/>
          <c:order val="1"/>
          <c:tx>
            <c:strRef>
              <c:f>'College Type-wise college count'!$C$3:$C$4</c:f>
              <c:strCache>
                <c:ptCount val="1"/>
                <c:pt idx="0">
                  <c:v>DEEMED UNIVERSITY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F-2F69-4BDB-B266-6DBBA51C1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1-2F69-4BDB-B266-6DBBA51C1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3-2F69-4BDB-B266-6DBBA51C1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5-2F69-4BDB-B266-6DBBA51C16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7-2F69-4BDB-B266-6DBBA51C16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9-2F69-4BDB-B266-6DBBA51C16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B-2F69-4BDB-B266-6DBBA51C16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D-2F69-4BDB-B266-6DBBA51C16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F-2F69-4BDB-B266-6DBBA51C16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1-2F69-4BDB-B266-6DBBA51C16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3-2F69-4BDB-B266-6DBBA51C16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5-2F69-4BDB-B266-6DBBA51C16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7-2F69-4BDB-B266-6DBBA51C16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9-2F69-4BDB-B266-6DBBA51C16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B-2F69-4BDB-B266-6DBBA51C16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D-2F69-4BDB-B266-6DBBA51C16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F-2F69-4BDB-B266-6DBBA51C16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1-2F69-4BDB-B266-6DBBA51C16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63-2F69-4BDB-B266-6DBBA51C16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5-2F69-4BDB-B266-6DBBA51C16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7-2F69-4BDB-B266-6DBBA51C16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9-2F69-4BDB-B266-6DBBA51C16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B-2F69-4BDB-B266-6DBBA51C16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D-2F69-4BDB-B266-6DBBA51C160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F-2F69-4BDB-B266-6DBBA51C160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71-2F69-4BDB-B266-6DBBA51C160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73-2F69-4BDB-B266-6DBBA51C160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5-2F69-4BDB-B266-6DBBA51C160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77-2F69-4BDB-B266-6DBBA51C160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9-2F69-4BDB-B266-6DBBA51C160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7B-2F69-4BDB-B266-6DBBA51C160E}"/>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count'!$C$5:$C$36</c:f>
              <c:numCache>
                <c:formatCode>General</c:formatCode>
                <c:ptCount val="31"/>
                <c:pt idx="3">
                  <c:v>1</c:v>
                </c:pt>
                <c:pt idx="13">
                  <c:v>1</c:v>
                </c:pt>
                <c:pt idx="25">
                  <c:v>1</c:v>
                </c:pt>
                <c:pt idx="29">
                  <c:v>1</c:v>
                </c:pt>
              </c:numCache>
            </c:numRef>
          </c:val>
          <c:extLst>
            <c:ext xmlns:c16="http://schemas.microsoft.com/office/drawing/2014/chart" uri="{C3380CC4-5D6E-409C-BE32-E72D297353CC}">
              <c16:uniqueId val="{0000000F-C8D4-48D3-BED5-4182D0C88FE9}"/>
            </c:ext>
          </c:extLst>
        </c:ser>
        <c:ser>
          <c:idx val="2"/>
          <c:order val="2"/>
          <c:tx>
            <c:strRef>
              <c:f>'College Type-wise college count'!$D$3:$D$4</c:f>
              <c:strCache>
                <c:ptCount val="1"/>
                <c:pt idx="0">
                  <c:v>GOVERNMENT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D-2F69-4BDB-B266-6DBBA51C1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F-2F69-4BDB-B266-6DBBA51C1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1-2F69-4BDB-B266-6DBBA51C1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3-2F69-4BDB-B266-6DBBA51C16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5-2F69-4BDB-B266-6DBBA51C16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7-2F69-4BDB-B266-6DBBA51C16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9-2F69-4BDB-B266-6DBBA51C16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B-2F69-4BDB-B266-6DBBA51C16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D-2F69-4BDB-B266-6DBBA51C16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F-2F69-4BDB-B266-6DBBA51C16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1-2F69-4BDB-B266-6DBBA51C16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3-2F69-4BDB-B266-6DBBA51C16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5-2F69-4BDB-B266-6DBBA51C16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7-2F69-4BDB-B266-6DBBA51C16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9-2F69-4BDB-B266-6DBBA51C16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B-2F69-4BDB-B266-6DBBA51C16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D-2F69-4BDB-B266-6DBBA51C16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F-2F69-4BDB-B266-6DBBA51C16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A1-2F69-4BDB-B266-6DBBA51C16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A3-2F69-4BDB-B266-6DBBA51C16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5-2F69-4BDB-B266-6DBBA51C16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7-2F69-4BDB-B266-6DBBA51C16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9-2F69-4BDB-B266-6DBBA51C16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B-2F69-4BDB-B266-6DBBA51C160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D-2F69-4BDB-B266-6DBBA51C160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F-2F69-4BDB-B266-6DBBA51C160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B1-2F69-4BDB-B266-6DBBA51C160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B3-2F69-4BDB-B266-6DBBA51C160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5-2F69-4BDB-B266-6DBBA51C160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7-2F69-4BDB-B266-6DBBA51C160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9-2F69-4BDB-B266-6DBBA51C160E}"/>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count'!$D$5:$D$36</c:f>
              <c:numCache>
                <c:formatCode>General</c:formatCode>
                <c:ptCount val="31"/>
                <c:pt idx="4">
                  <c:v>1</c:v>
                </c:pt>
                <c:pt idx="5">
                  <c:v>1</c:v>
                </c:pt>
                <c:pt idx="9">
                  <c:v>1</c:v>
                </c:pt>
                <c:pt idx="11">
                  <c:v>1</c:v>
                </c:pt>
                <c:pt idx="12">
                  <c:v>1</c:v>
                </c:pt>
                <c:pt idx="18">
                  <c:v>1</c:v>
                </c:pt>
                <c:pt idx="21">
                  <c:v>1</c:v>
                </c:pt>
              </c:numCache>
            </c:numRef>
          </c:val>
          <c:extLst>
            <c:ext xmlns:c16="http://schemas.microsoft.com/office/drawing/2014/chart" uri="{C3380CC4-5D6E-409C-BE32-E72D297353CC}">
              <c16:uniqueId val="{00000010-C8D4-48D3-BED5-4182D0C88FE9}"/>
            </c:ext>
          </c:extLst>
        </c:ser>
        <c:ser>
          <c:idx val="3"/>
          <c:order val="3"/>
          <c:tx>
            <c:strRef>
              <c:f>'College Type-wise college count'!$E$3:$E$4</c:f>
              <c:strCache>
                <c:ptCount val="1"/>
                <c:pt idx="0">
                  <c:v>PRIVATE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B-2F69-4BDB-B266-6DBBA51C1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D-2F69-4BDB-B266-6DBBA51C1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F-2F69-4BDB-B266-6DBBA51C1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1-2F69-4BDB-B266-6DBBA51C16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C3-2F69-4BDB-B266-6DBBA51C16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C5-2F69-4BDB-B266-6DBBA51C16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7-2F69-4BDB-B266-6DBBA51C16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9-2F69-4BDB-B266-6DBBA51C16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CB-2F69-4BDB-B266-6DBBA51C16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CD-2F69-4BDB-B266-6DBBA51C16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CF-2F69-4BDB-B266-6DBBA51C16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1-2F69-4BDB-B266-6DBBA51C16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D3-2F69-4BDB-B266-6DBBA51C16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D5-2F69-4BDB-B266-6DBBA51C16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D7-2F69-4BDB-B266-6DBBA51C16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D9-2F69-4BDB-B266-6DBBA51C16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DB-2F69-4BDB-B266-6DBBA51C16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DD-2F69-4BDB-B266-6DBBA51C16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DF-2F69-4BDB-B266-6DBBA51C16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1-2F69-4BDB-B266-6DBBA51C16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E3-2F69-4BDB-B266-6DBBA51C16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E5-2F69-4BDB-B266-6DBBA51C16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E7-2F69-4BDB-B266-6DBBA51C16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E9-2F69-4BDB-B266-6DBBA51C160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EB-2F69-4BDB-B266-6DBBA51C160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ED-2F69-4BDB-B266-6DBBA51C160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EF-2F69-4BDB-B266-6DBBA51C160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F1-2F69-4BDB-B266-6DBBA51C160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F3-2F69-4BDB-B266-6DBBA51C160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F5-2F69-4BDB-B266-6DBBA51C160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F7-2F69-4BDB-B266-6DBBA51C160E}"/>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count'!$E$5:$E$36</c:f>
              <c:numCache>
                <c:formatCode>General</c:formatCode>
                <c:ptCount val="31"/>
                <c:pt idx="0">
                  <c:v>1</c:v>
                </c:pt>
                <c:pt idx="1">
                  <c:v>1</c:v>
                </c:pt>
                <c:pt idx="8">
                  <c:v>1</c:v>
                </c:pt>
                <c:pt idx="22">
                  <c:v>1</c:v>
                </c:pt>
              </c:numCache>
            </c:numRef>
          </c:val>
          <c:extLst>
            <c:ext xmlns:c16="http://schemas.microsoft.com/office/drawing/2014/chart" uri="{C3380CC4-5D6E-409C-BE32-E72D297353CC}">
              <c16:uniqueId val="{00000011-C8D4-48D3-BED5-4182D0C88FE9}"/>
            </c:ext>
          </c:extLst>
        </c:ser>
        <c:ser>
          <c:idx val="4"/>
          <c:order val="4"/>
          <c:tx>
            <c:strRef>
              <c:f>'College Type-wise college count'!$F$3:$F$4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9-2F69-4BDB-B266-6DBBA51C1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B-2F69-4BDB-B266-6DBBA51C1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D-2F69-4BDB-B266-6DBBA51C1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F-2F69-4BDB-B266-6DBBA51C16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1-2F69-4BDB-B266-6DBBA51C16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03-2F69-4BDB-B266-6DBBA51C16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05-2F69-4BDB-B266-6DBBA51C16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07-2F69-4BDB-B266-6DBBA51C16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9-2F69-4BDB-B266-6DBBA51C16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B-2F69-4BDB-B266-6DBBA51C16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D-2F69-4BDB-B266-6DBBA51C16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F-2F69-4BDB-B266-6DBBA51C16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1-2F69-4BDB-B266-6DBBA51C16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13-2F69-4BDB-B266-6DBBA51C16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5-2F69-4BDB-B266-6DBBA51C16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17-2F69-4BDB-B266-6DBBA51C16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9-2F69-4BDB-B266-6DBBA51C16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B-2F69-4BDB-B266-6DBBA51C16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D-2F69-4BDB-B266-6DBBA51C16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F-2F69-4BDB-B266-6DBBA51C16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21-2F69-4BDB-B266-6DBBA51C16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23-2F69-4BDB-B266-6DBBA51C16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5-2F69-4BDB-B266-6DBBA51C16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27-2F69-4BDB-B266-6DBBA51C160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9-2F69-4BDB-B266-6DBBA51C160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B-2F69-4BDB-B266-6DBBA51C160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D-2F69-4BDB-B266-6DBBA51C160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F-2F69-4BDB-B266-6DBBA51C160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31-2F69-4BDB-B266-6DBBA51C160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33-2F69-4BDB-B266-6DBBA51C160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35-2F69-4BDB-B266-6DBBA51C160E}"/>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count'!$F$5:$F$36</c:f>
              <c:numCache>
                <c:formatCode>General</c:formatCode>
                <c:ptCount val="31"/>
              </c:numCache>
            </c:numRef>
          </c:val>
          <c:extLst>
            <c:ext xmlns:c16="http://schemas.microsoft.com/office/drawing/2014/chart" uri="{C3380CC4-5D6E-409C-BE32-E72D297353CC}">
              <c16:uniqueId val="{00000012-C8D4-48D3-BED5-4182D0C88F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[Tamilnadu_colleges_ROI_comparison_dashboard.xlsx]District-wise college count1!Pivot_Analysis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College</a:t>
            </a:r>
            <a:r>
              <a:rPr lang="en-IN" baseline="0"/>
              <a:t> Count by District and Type</a:t>
            </a:r>
            <a:endParaRPr lang="en-IN"/>
          </a:p>
        </c:rich>
      </c:tx>
      <c:layout>
        <c:manualLayout>
          <c:xMode val="edge"/>
          <c:yMode val="edge"/>
          <c:x val="0.19208632036667059"/>
          <c:y val="3.6523603563639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'District-wise college count1'!$B$3:$B$4</c:f>
              <c:strCache>
                <c:ptCount val="1"/>
                <c:pt idx="0">
                  <c:v>AUTONOMOUS</c:v>
                </c:pt>
              </c:strCache>
            </c:strRef>
          </c:tx>
          <c:spPr>
            <a:solidFill>
              <a:schemeClr val="accent1"/>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count1'!$B$5:$B$14</c:f>
              <c:numCache>
                <c:formatCode>General</c:formatCode>
                <c:ptCount val="9"/>
                <c:pt idx="0">
                  <c:v>2</c:v>
                </c:pt>
                <c:pt idx="1">
                  <c:v>2</c:v>
                </c:pt>
                <c:pt idx="2">
                  <c:v>6</c:v>
                </c:pt>
                <c:pt idx="3">
                  <c:v>2</c:v>
                </c:pt>
                <c:pt idx="4">
                  <c:v>2</c:v>
                </c:pt>
                <c:pt idx="6">
                  <c:v>1</c:v>
                </c:pt>
              </c:numCache>
            </c:numRef>
          </c:val>
          <c:extLst>
            <c:ext xmlns:c16="http://schemas.microsoft.com/office/drawing/2014/chart" uri="{C3380CC4-5D6E-409C-BE32-E72D297353CC}">
              <c16:uniqueId val="{00000000-D404-424B-B282-CC4B87BF4A76}"/>
            </c:ext>
          </c:extLst>
        </c:ser>
        <c:ser>
          <c:idx val="1"/>
          <c:order val="1"/>
          <c:tx>
            <c:strRef>
              <c:f>'District-wise college count1'!$C$3:$C$4</c:f>
              <c:strCache>
                <c:ptCount val="1"/>
                <c:pt idx="0">
                  <c:v>DEEMED UNIVERSITY</c:v>
                </c:pt>
              </c:strCache>
            </c:strRef>
          </c:tx>
          <c:spPr>
            <a:solidFill>
              <a:schemeClr val="accent2"/>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count1'!$C$5:$C$14</c:f>
              <c:numCache>
                <c:formatCode>General</c:formatCode>
                <c:ptCount val="9"/>
                <c:pt idx="1">
                  <c:v>2</c:v>
                </c:pt>
                <c:pt idx="2">
                  <c:v>1</c:v>
                </c:pt>
                <c:pt idx="7">
                  <c:v>1</c:v>
                </c:pt>
              </c:numCache>
            </c:numRef>
          </c:val>
          <c:extLst>
            <c:ext xmlns:c16="http://schemas.microsoft.com/office/drawing/2014/chart" uri="{C3380CC4-5D6E-409C-BE32-E72D297353CC}">
              <c16:uniqueId val="{00000015-D404-424B-B282-CC4B87BF4A76}"/>
            </c:ext>
          </c:extLst>
        </c:ser>
        <c:ser>
          <c:idx val="2"/>
          <c:order val="2"/>
          <c:tx>
            <c:strRef>
              <c:f>'District-wise college count1'!$D$3:$D$4</c:f>
              <c:strCache>
                <c:ptCount val="1"/>
                <c:pt idx="0">
                  <c:v>GOVERNMENT</c:v>
                </c:pt>
              </c:strCache>
            </c:strRef>
          </c:tx>
          <c:spPr>
            <a:solidFill>
              <a:schemeClr val="accent3"/>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count1'!$D$5:$D$14</c:f>
              <c:numCache>
                <c:formatCode>General</c:formatCode>
                <c:ptCount val="9"/>
                <c:pt idx="1">
                  <c:v>2</c:v>
                </c:pt>
                <c:pt idx="2">
                  <c:v>1</c:v>
                </c:pt>
                <c:pt idx="5">
                  <c:v>1</c:v>
                </c:pt>
                <c:pt idx="6">
                  <c:v>3</c:v>
                </c:pt>
              </c:numCache>
            </c:numRef>
          </c:val>
          <c:extLst>
            <c:ext xmlns:c16="http://schemas.microsoft.com/office/drawing/2014/chart" uri="{C3380CC4-5D6E-409C-BE32-E72D297353CC}">
              <c16:uniqueId val="{00000016-D404-424B-B282-CC4B87BF4A76}"/>
            </c:ext>
          </c:extLst>
        </c:ser>
        <c:ser>
          <c:idx val="3"/>
          <c:order val="3"/>
          <c:tx>
            <c:strRef>
              <c:f>'District-wise college count1'!$E$3:$E$4</c:f>
              <c:strCache>
                <c:ptCount val="1"/>
                <c:pt idx="0">
                  <c:v>PRIVATE</c:v>
                </c:pt>
              </c:strCache>
            </c:strRef>
          </c:tx>
          <c:spPr>
            <a:solidFill>
              <a:schemeClr val="accent4"/>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count1'!$E$5:$E$14</c:f>
              <c:numCache>
                <c:formatCode>General</c:formatCode>
                <c:ptCount val="9"/>
                <c:pt idx="6">
                  <c:v>4</c:v>
                </c:pt>
              </c:numCache>
            </c:numRef>
          </c:val>
          <c:extLst>
            <c:ext xmlns:c16="http://schemas.microsoft.com/office/drawing/2014/chart" uri="{C3380CC4-5D6E-409C-BE32-E72D297353CC}">
              <c16:uniqueId val="{00000017-D404-424B-B282-CC4B87BF4A76}"/>
            </c:ext>
          </c:extLst>
        </c:ser>
        <c:ser>
          <c:idx val="4"/>
          <c:order val="4"/>
          <c:tx>
            <c:strRef>
              <c:f>'District-wise college count1'!$F$3:$F$4</c:f>
              <c:strCache>
                <c:ptCount val="1"/>
                <c:pt idx="0">
                  <c:v>(blank)</c:v>
                </c:pt>
              </c:strCache>
            </c:strRef>
          </c:tx>
          <c:spPr>
            <a:solidFill>
              <a:schemeClr val="accent5"/>
            </a:solidFill>
            <a:ln>
              <a:noFill/>
            </a:ln>
            <a:effectLst/>
          </c:spPr>
          <c:invertIfNegative val="0"/>
          <c:cat>
            <c:strRef>
              <c:f>'District-wise college count1'!$A$5:$A$14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college count1'!$F$5:$F$14</c:f>
              <c:numCache>
                <c:formatCode>General</c:formatCode>
                <c:ptCount val="9"/>
              </c:numCache>
            </c:numRef>
          </c:val>
          <c:extLst>
            <c:ext xmlns:c16="http://schemas.microsoft.com/office/drawing/2014/chart" uri="{C3380CC4-5D6E-409C-BE32-E72D297353CC}">
              <c16:uniqueId val="{00000018-D404-424B-B282-CC4B87BF4A76}"/>
            </c:ext>
          </c:extLst>
        </c:ser>
        <c:dLbls>
          <c:showLegendKey val="0"/>
          <c:showVal val="0"/>
          <c:showCatName val="0"/>
          <c:showSerName val="0"/>
          <c:showPercent val="0"/>
          <c:showBubbleSize val="0"/>
        </c:dLbls>
        <c:gapWidth val="219"/>
        <c:overlap val="-27"/>
        <c:axId val="1363149344"/>
        <c:axId val="1363151744"/>
      </c:barChart>
      <c:catAx>
        <c:axId val="136314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1744"/>
        <c:crosses val="autoZero"/>
        <c:auto val="1"/>
        <c:lblAlgn val="ctr"/>
        <c:lblOffset val="100"/>
        <c:noMultiLvlLbl val="0"/>
      </c:catAx>
      <c:valAx>
        <c:axId val="13631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4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[Tamilnadu_colleges_ROI_comparison_dashboard.xlsx]Type-wise Average placement2!PivotTable4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a:t>
            </a:r>
            <a:r>
              <a:rPr lang="en-US" baseline="0"/>
              <a:t> by College Type</a:t>
            </a:r>
            <a:endParaRPr lang="en-US"/>
          </a:p>
        </c:rich>
      </c:tx>
      <c:layout>
        <c:manualLayout>
          <c:xMode val="edge"/>
          <c:yMode val="edge"/>
          <c:x val="0.27527906373512362"/>
          <c:y val="4.1276575265891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'Type-wise Average placement2'!$B$3</c:f>
              <c:strCache>
                <c:ptCount val="1"/>
                <c:pt idx="0">
                  <c:v>Total</c:v>
                </c:pt>
              </c:strCache>
            </c:strRef>
          </c:tx>
          <c:spPr>
            <a:solidFill>
              <a:schemeClr val="accent1"/>
            </a:solidFill>
            <a:ln>
              <a:noFill/>
            </a:ln>
            <a:effectLst/>
          </c:spPr>
          <c:invertIfNegative val="0"/>
          <c:cat>
            <c:strRef>
              <c:f>'Type-wise Average placement2'!$A$4:$A$9</c:f>
              <c:strCache>
                <c:ptCount val="5"/>
                <c:pt idx="0">
                  <c:v>AUTONOMOUS</c:v>
                </c:pt>
                <c:pt idx="1">
                  <c:v>DEEMED UNIVERSITY</c:v>
                </c:pt>
                <c:pt idx="2">
                  <c:v>GOVERNMENT</c:v>
                </c:pt>
                <c:pt idx="3">
                  <c:v>PRIVATE</c:v>
                </c:pt>
                <c:pt idx="4">
                  <c:v>(blank)</c:v>
                </c:pt>
              </c:strCache>
            </c:strRef>
          </c:cat>
          <c:val>
            <c:numRef>
              <c:f>'Type-wise Average placement2'!$B$4:$B$9</c:f>
              <c:numCache>
                <c:formatCode>General</c:formatCode>
                <c:ptCount val="5"/>
                <c:pt idx="0">
                  <c:v>83.8</c:v>
                </c:pt>
                <c:pt idx="1">
                  <c:v>86</c:v>
                </c:pt>
                <c:pt idx="2">
                  <c:v>76.142857142857139</c:v>
                </c:pt>
                <c:pt idx="3">
                  <c:v>75.125</c:v>
                </c:pt>
              </c:numCache>
            </c:numRef>
          </c:val>
          <c:extLst>
            <c:ext xmlns:c16="http://schemas.microsoft.com/office/drawing/2014/chart" uri="{C3380CC4-5D6E-409C-BE32-E72D297353CC}">
              <c16:uniqueId val="{00000000-712B-42D0-8525-EB71A9B999C6}"/>
            </c:ext>
          </c:extLst>
        </c:ser>
        <c:dLbls>
          <c:showLegendKey val="0"/>
          <c:showVal val="0"/>
          <c:showCatName val="0"/>
          <c:showSerName val="0"/>
          <c:showPercent val="0"/>
          <c:showBubbleSize val="0"/>
        </c:dLbls>
        <c:gapWidth val="182"/>
        <c:axId val="1363159424"/>
        <c:axId val="1363148864"/>
      </c:barChart>
      <c:catAx>
        <c:axId val="136315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48864"/>
        <c:crosses val="autoZero"/>
        <c:auto val="1"/>
        <c:lblAlgn val="ctr"/>
        <c:lblOffset val="100"/>
        <c:noMultiLvlLbl val="0"/>
      </c:catAx>
      <c:valAx>
        <c:axId val="1363148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[Tamilnadu_colleges_ROI_comparison_dashboard.xlsx]Top 10 ROI colleges3!PivotTable5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ROI College</a:t>
            </a:r>
            <a:endParaRPr lang="en-US"/>
          </a:p>
        </c:rich>
      </c:tx>
      <c:layout>
        <c:manualLayout>
          <c:xMode val="edge"/>
          <c:yMode val="edge"/>
          <c:x val="0.33319401316032676"/>
          <c:y val="4.5519310086239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ROI colleges3'!$B$4</c:f>
              <c:strCache>
                <c:ptCount val="1"/>
                <c:pt idx="0">
                  <c:v>Total</c:v>
                </c:pt>
              </c:strCache>
            </c:strRef>
          </c:tx>
          <c:spPr>
            <a:solidFill>
              <a:schemeClr val="accent1"/>
            </a:solidFill>
            <a:ln>
              <a:noFill/>
            </a:ln>
            <a:effectLst/>
          </c:spPr>
          <c:invertIfNegative val="0"/>
          <c:cat>
            <c:strRef>
              <c:f>'Top 10 ROI colleges3'!$A$5:$A$35</c:f>
              <c:strCache>
                <c:ptCount val="30"/>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strCache>
            </c:strRef>
          </c:cat>
          <c:val>
            <c:numRef>
              <c:f>'Top 10 ROI colleges3'!$B$5:$B$35</c:f>
              <c:numCache>
                <c:formatCode>General</c:formatCode>
                <c:ptCount val="30"/>
                <c:pt idx="0">
                  <c:v>2.5</c:v>
                </c:pt>
                <c:pt idx="1">
                  <c:v>0.17665615141955837</c:v>
                </c:pt>
                <c:pt idx="2">
                  <c:v>1.4634146341463414</c:v>
                </c:pt>
                <c:pt idx="3">
                  <c:v>5.3099415204678362</c:v>
                </c:pt>
                <c:pt idx="4">
                  <c:v>5.7678780773739744</c:v>
                </c:pt>
                <c:pt idx="5">
                  <c:v>20.8</c:v>
                </c:pt>
                <c:pt idx="6">
                  <c:v>2.0640000000000001</c:v>
                </c:pt>
                <c:pt idx="7">
                  <c:v>1.408450704225352</c:v>
                </c:pt>
                <c:pt idx="8">
                  <c:v>2.8571428571428572</c:v>
                </c:pt>
                <c:pt idx="9">
                  <c:v>32.027850304612706</c:v>
                </c:pt>
                <c:pt idx="10">
                  <c:v>1.6444444444444444</c:v>
                </c:pt>
                <c:pt idx="11">
                  <c:v>1.2676949080921192</c:v>
                </c:pt>
                <c:pt idx="12">
                  <c:v>2.6390403489640133</c:v>
                </c:pt>
                <c:pt idx="13">
                  <c:v>0.63380281690140849</c:v>
                </c:pt>
                <c:pt idx="14">
                  <c:v>2.5806451612903225</c:v>
                </c:pt>
                <c:pt idx="15">
                  <c:v>1.5125072716695753</c:v>
                </c:pt>
                <c:pt idx="16">
                  <c:v>1.2530226423389756</c:v>
                </c:pt>
                <c:pt idx="17">
                  <c:v>1.9720062208398135</c:v>
                </c:pt>
                <c:pt idx="18">
                  <c:v>23.80952380952381</c:v>
                </c:pt>
                <c:pt idx="19">
                  <c:v>2.4509803921568629</c:v>
                </c:pt>
                <c:pt idx="20">
                  <c:v>0.79922779922779907</c:v>
                </c:pt>
                <c:pt idx="21">
                  <c:v>2.0526027397260274</c:v>
                </c:pt>
                <c:pt idx="22">
                  <c:v>1.0078125</c:v>
                </c:pt>
                <c:pt idx="23">
                  <c:v>1.964102564102564</c:v>
                </c:pt>
                <c:pt idx="24">
                  <c:v>1.4472727272727273</c:v>
                </c:pt>
                <c:pt idx="25">
                  <c:v>0.55148514851485153</c:v>
                </c:pt>
                <c:pt idx="26">
                  <c:v>1.1797752808988764</c:v>
                </c:pt>
                <c:pt idx="27">
                  <c:v>2.7878787878787876</c:v>
                </c:pt>
                <c:pt idx="28">
                  <c:v>2.1794871794871793</c:v>
                </c:pt>
                <c:pt idx="29">
                  <c:v>0.39568345323741005</c:v>
                </c:pt>
              </c:numCache>
            </c:numRef>
          </c:val>
          <c:extLst>
            <c:ext xmlns:c16="http://schemas.microsoft.com/office/drawing/2014/chart" uri="{C3380CC4-5D6E-409C-BE32-E72D297353CC}">
              <c16:uniqueId val="{00000000-59F9-474C-9F57-B1D2DDBB6D36}"/>
            </c:ext>
          </c:extLst>
        </c:ser>
        <c:dLbls>
          <c:showLegendKey val="0"/>
          <c:showVal val="0"/>
          <c:showCatName val="0"/>
          <c:showSerName val="0"/>
          <c:showPercent val="0"/>
          <c:showBubbleSize val="0"/>
        </c:dLbls>
        <c:gapWidth val="182"/>
        <c:axId val="1363188224"/>
        <c:axId val="1363173344"/>
      </c:barChart>
      <c:catAx>
        <c:axId val="13631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73344"/>
        <c:crosses val="autoZero"/>
        <c:auto val="1"/>
        <c:lblAlgn val="ctr"/>
        <c:lblOffset val="100"/>
        <c:noMultiLvlLbl val="0"/>
      </c:catAx>
      <c:valAx>
        <c:axId val="136317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[Tamilnadu_colleges_ROI_comparison_dashboard.xlsx]Type-wise Average fees4!PivotTable6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Course Cost by District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'Type-wise Average fees4'!$B$4</c:f>
              <c:strCache>
                <c:ptCount val="1"/>
                <c:pt idx="0">
                  <c:v>Total</c:v>
                </c:pt>
              </c:strCache>
            </c:strRef>
          </c:tx>
          <c:spPr>
            <a:solidFill>
              <a:schemeClr val="accent1"/>
            </a:solidFill>
            <a:ln>
              <a:noFill/>
            </a:ln>
            <a:effectLst/>
          </c:spPr>
          <c:invertIfNegative val="0"/>
          <c:cat>
            <c:strRef>
              <c:f>'Type-wise Average fees4'!$A$5:$A$10</c:f>
              <c:strCache>
                <c:ptCount val="5"/>
                <c:pt idx="0">
                  <c:v>AUTONOMOUS</c:v>
                </c:pt>
                <c:pt idx="1">
                  <c:v>DEEMED UNIVERSITY</c:v>
                </c:pt>
                <c:pt idx="2">
                  <c:v>GOVERNMENT</c:v>
                </c:pt>
                <c:pt idx="3">
                  <c:v>PRIVATE</c:v>
                </c:pt>
                <c:pt idx="4">
                  <c:v>(blank)</c:v>
                </c:pt>
              </c:strCache>
            </c:strRef>
          </c:cat>
          <c:val>
            <c:numRef>
              <c:f>'Type-wise Average fees4'!$B$5:$B$10</c:f>
              <c:numCache>
                <c:formatCode>General</c:formatCode>
                <c:ptCount val="5"/>
                <c:pt idx="0">
                  <c:v>319905.33333333331</c:v>
                </c:pt>
                <c:pt idx="1">
                  <c:v>820250</c:v>
                </c:pt>
                <c:pt idx="2">
                  <c:v>356135</c:v>
                </c:pt>
                <c:pt idx="3">
                  <c:v>271375</c:v>
                </c:pt>
              </c:numCache>
            </c:numRef>
          </c:val>
          <c:extLst>
            <c:ext xmlns:c16="http://schemas.microsoft.com/office/drawing/2014/chart" uri="{C3380CC4-5D6E-409C-BE32-E72D297353CC}">
              <c16:uniqueId val="{00000000-DAEC-4EB1-9957-D896048D58B0}"/>
            </c:ext>
          </c:extLst>
        </c:ser>
        <c:dLbls>
          <c:showLegendKey val="0"/>
          <c:showVal val="0"/>
          <c:showCatName val="0"/>
          <c:showSerName val="0"/>
          <c:showPercent val="0"/>
          <c:showBubbleSize val="0"/>
        </c:dLbls>
        <c:gapWidth val="150"/>
        <c:overlap val="100"/>
        <c:axId val="1363179584"/>
        <c:axId val="1363196384"/>
      </c:barChart>
      <c:catAx>
        <c:axId val="136317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96384"/>
        <c:crosses val="autoZero"/>
        <c:auto val="1"/>
        <c:lblAlgn val="ctr"/>
        <c:lblOffset val="100"/>
        <c:noMultiLvlLbl val="0"/>
      </c:catAx>
      <c:valAx>
        <c:axId val="13631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[Tamilnadu_colleges_ROI_comparison_dashboard.xlsx]District-wise Average package5!PivotTable7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Package by District</a:t>
            </a:r>
            <a:endParaRPr lang="en-US"/>
          </a:p>
        </c:rich>
      </c:tx>
      <c:layout>
        <c:manualLayout>
          <c:xMode val="edge"/>
          <c:yMode val="edge"/>
          <c:x val="0.28751387200760981"/>
          <c:y val="5.6495870567498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'District-wise Average package5'!$B$4</c:f>
              <c:strCache>
                <c:ptCount val="1"/>
                <c:pt idx="0">
                  <c:v>Total</c:v>
                </c:pt>
              </c:strCache>
            </c:strRef>
          </c:tx>
          <c:spPr>
            <a:solidFill>
              <a:schemeClr val="accent1"/>
            </a:solidFill>
            <a:ln>
              <a:noFill/>
            </a:ln>
            <a:effectLst/>
          </c:spPr>
          <c:invertIfNegative val="0"/>
          <c:cat>
            <c:strRef>
              <c:f>'District-wise Average package5'!$A$5:$A$14</c:f>
              <c:strCache>
                <c:ptCount val="9"/>
                <c:pt idx="0">
                  <c:v>CHENGALPATTU</c:v>
                </c:pt>
                <c:pt idx="1">
                  <c:v>CHENNAI</c:v>
                </c:pt>
                <c:pt idx="2">
                  <c:v>COIMBATORE</c:v>
                </c:pt>
                <c:pt idx="3">
                  <c:v>ERODE</c:v>
                </c:pt>
                <c:pt idx="4">
                  <c:v>MADURAI</c:v>
                </c:pt>
                <c:pt idx="5">
                  <c:v>TIRUCHIRAPPALLI</c:v>
                </c:pt>
                <c:pt idx="6">
                  <c:v>TIRUPUR</c:v>
                </c:pt>
                <c:pt idx="7">
                  <c:v>VIRUDHUNAGAR</c:v>
                </c:pt>
                <c:pt idx="8">
                  <c:v>(blank)</c:v>
                </c:pt>
              </c:strCache>
            </c:strRef>
          </c:cat>
          <c:val>
            <c:numRef>
              <c:f>'District-wise Average package5'!$B$5:$B$14</c:f>
              <c:numCache>
                <c:formatCode>General</c:formatCode>
                <c:ptCount val="9"/>
                <c:pt idx="0">
                  <c:v>7.05</c:v>
                </c:pt>
                <c:pt idx="1">
                  <c:v>9.3416666666666668</c:v>
                </c:pt>
                <c:pt idx="2">
                  <c:v>5.6837500000000007</c:v>
                </c:pt>
                <c:pt idx="3">
                  <c:v>4.6500000000000004</c:v>
                </c:pt>
                <c:pt idx="4">
                  <c:v>2.75</c:v>
                </c:pt>
                <c:pt idx="5">
                  <c:v>18.73</c:v>
                </c:pt>
                <c:pt idx="6">
                  <c:v>2.01125</c:v>
                </c:pt>
                <c:pt idx="7">
                  <c:v>4.5</c:v>
                </c:pt>
              </c:numCache>
            </c:numRef>
          </c:val>
          <c:extLst>
            <c:ext xmlns:c16="http://schemas.microsoft.com/office/drawing/2014/chart" uri="{C3380CC4-5D6E-409C-BE32-E72D297353CC}">
              <c16:uniqueId val="{00000000-F352-4F5A-AB53-6F369D3A7320}"/>
            </c:ext>
          </c:extLst>
        </c:ser>
        <c:dLbls>
          <c:showLegendKey val="0"/>
          <c:showVal val="0"/>
          <c:showCatName val="0"/>
          <c:showSerName val="0"/>
          <c:showPercent val="0"/>
          <c:showBubbleSize val="0"/>
        </c:dLbls>
        <c:gapWidth val="182"/>
        <c:axId val="1363156064"/>
        <c:axId val="1363158464"/>
      </c:barChart>
      <c:catAx>
        <c:axId val="136315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8464"/>
        <c:crosses val="autoZero"/>
        <c:auto val="1"/>
        <c:lblAlgn val="ctr"/>
        <c:lblOffset val="100"/>
        <c:noMultiLvlLbl val="0"/>
      </c:catAx>
      <c:valAx>
        <c:axId val="136315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15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[Tamilnadu_colleges_ROI_comparison_dashboard.xlsx]College Type-wise college count!PivotTable8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College</a:t>
            </a:r>
            <a:r>
              <a:rPr lang="en-IN" baseline="0"/>
              <a:t> Type-wise College Count</a:t>
            </a:r>
            <a:endParaRPr lang="en-IN"/>
          </a:p>
        </c:rich>
      </c:tx>
      <c:layout>
        <c:manualLayout>
          <c:xMode val="edge"/>
          <c:yMode val="edge"/>
          <c:x val="0.22013992185118975"/>
          <c:y val="4.1710794922564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s>
    <c:plotArea>
      <c:layout/>
      <c:pieChart>
        <c:varyColors val="1"/>
        <c:ser>
          <c:idx val="0"/>
          <c:order val="0"/>
          <c:tx>
            <c:strRef>
              <c:f>'College Type-wise college count'!$B$3:$B$4</c:f>
              <c:strCache>
                <c:ptCount val="1"/>
                <c:pt idx="0">
                  <c:v>AUTONOMOUS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E-4A10-A66B-AA7243A38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E-4A10-A66B-AA7243A385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FE-4A10-A66B-AA7243A385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FE-4A10-A66B-AA7243A385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FE-4A10-A66B-AA7243A385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FE-4A10-A66B-AA7243A385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FE-4A10-A66B-AA7243A3851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FE-4A10-A66B-AA7243A3851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FE-4A10-A66B-AA7243A3851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FE-4A10-A66B-AA7243A3851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0FE-4A10-A66B-AA7243A3851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0FE-4A10-A66B-AA7243A3851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0FE-4A10-A66B-AA7243A3851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0FE-4A10-A66B-AA7243A3851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0FE-4A10-A66B-AA7243A3851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0FE-4A10-A66B-AA7243A3851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0FE-4A10-A66B-AA7243A3851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0FE-4A10-A66B-AA7243A3851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0FE-4A10-A66B-AA7243A3851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0FE-4A10-A66B-AA7243A3851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0FE-4A10-A66B-AA7243A3851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0FE-4A10-A66B-AA7243A3851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0FE-4A10-A66B-AA7243A3851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0FE-4A10-A66B-AA7243A3851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0FE-4A10-A66B-AA7243A3851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0FE-4A10-A66B-AA7243A3851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0FE-4A10-A66B-AA7243A3851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0FE-4A10-A66B-AA7243A3851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0FE-4A10-A66B-AA7243A3851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0FE-4A10-A66B-AA7243A3851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923E-44AB-BFB9-5CA6B642FC65}"/>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count'!$B$5:$B$36</c:f>
              <c:numCache>
                <c:formatCode>General</c:formatCode>
                <c:ptCount val="31"/>
                <c:pt idx="2">
                  <c:v>1</c:v>
                </c:pt>
                <c:pt idx="6">
                  <c:v>1</c:v>
                </c:pt>
                <c:pt idx="7">
                  <c:v>1</c:v>
                </c:pt>
                <c:pt idx="10">
                  <c:v>1</c:v>
                </c:pt>
                <c:pt idx="14">
                  <c:v>1</c:v>
                </c:pt>
                <c:pt idx="15">
                  <c:v>1</c:v>
                </c:pt>
                <c:pt idx="16">
                  <c:v>1</c:v>
                </c:pt>
                <c:pt idx="17">
                  <c:v>1</c:v>
                </c:pt>
                <c:pt idx="19">
                  <c:v>1</c:v>
                </c:pt>
                <c:pt idx="20">
                  <c:v>1</c:v>
                </c:pt>
                <c:pt idx="23">
                  <c:v>1</c:v>
                </c:pt>
                <c:pt idx="24">
                  <c:v>1</c:v>
                </c:pt>
                <c:pt idx="26">
                  <c:v>1</c:v>
                </c:pt>
                <c:pt idx="27">
                  <c:v>1</c:v>
                </c:pt>
                <c:pt idx="28">
                  <c:v>1</c:v>
                </c:pt>
              </c:numCache>
            </c:numRef>
          </c:val>
          <c:extLst>
            <c:ext xmlns:c16="http://schemas.microsoft.com/office/drawing/2014/chart" uri="{C3380CC4-5D6E-409C-BE32-E72D297353CC}">
              <c16:uniqueId val="{0000003C-00FE-4A10-A66B-AA7243A38514}"/>
            </c:ext>
          </c:extLst>
        </c:ser>
        <c:ser>
          <c:idx val="1"/>
          <c:order val="1"/>
          <c:tx>
            <c:strRef>
              <c:f>'College Type-wise college count'!$C$3:$C$4</c:f>
              <c:strCache>
                <c:ptCount val="1"/>
                <c:pt idx="0">
                  <c:v>DEEMED UNIVERSITY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F-923E-44AB-BFB9-5CA6B642FC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1-923E-44AB-BFB9-5CA6B642FC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3-923E-44AB-BFB9-5CA6B642FC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5-923E-44AB-BFB9-5CA6B642FC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7-923E-44AB-BFB9-5CA6B642FC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9-923E-44AB-BFB9-5CA6B642FC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B-923E-44AB-BFB9-5CA6B642FC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D-923E-44AB-BFB9-5CA6B642FC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F-923E-44AB-BFB9-5CA6B642FC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1-923E-44AB-BFB9-5CA6B642FC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3-923E-44AB-BFB9-5CA6B642FC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5-923E-44AB-BFB9-5CA6B642FC6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7-923E-44AB-BFB9-5CA6B642FC6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9-923E-44AB-BFB9-5CA6B642FC6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B-923E-44AB-BFB9-5CA6B642FC6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D-923E-44AB-BFB9-5CA6B642FC6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F-923E-44AB-BFB9-5CA6B642FC6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1-923E-44AB-BFB9-5CA6B642FC6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63-923E-44AB-BFB9-5CA6B642FC6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5-923E-44AB-BFB9-5CA6B642FC6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7-923E-44AB-BFB9-5CA6B642FC6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9-923E-44AB-BFB9-5CA6B642FC6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B-923E-44AB-BFB9-5CA6B642FC6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D-923E-44AB-BFB9-5CA6B642FC6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F-923E-44AB-BFB9-5CA6B642FC6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71-923E-44AB-BFB9-5CA6B642FC6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73-923E-44AB-BFB9-5CA6B642FC6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5-923E-44AB-BFB9-5CA6B642FC6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77-923E-44AB-BFB9-5CA6B642FC6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9-923E-44AB-BFB9-5CA6B642FC6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7B-923E-44AB-BFB9-5CA6B642FC65}"/>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count'!$C$5:$C$36</c:f>
              <c:numCache>
                <c:formatCode>General</c:formatCode>
                <c:ptCount val="31"/>
                <c:pt idx="3">
                  <c:v>1</c:v>
                </c:pt>
                <c:pt idx="13">
                  <c:v>1</c:v>
                </c:pt>
                <c:pt idx="25">
                  <c:v>1</c:v>
                </c:pt>
                <c:pt idx="29">
                  <c:v>1</c:v>
                </c:pt>
              </c:numCache>
            </c:numRef>
          </c:val>
          <c:extLst>
            <c:ext xmlns:c16="http://schemas.microsoft.com/office/drawing/2014/chart" uri="{C3380CC4-5D6E-409C-BE32-E72D297353CC}">
              <c16:uniqueId val="{000000FE-00FE-4A10-A66B-AA7243A38514}"/>
            </c:ext>
          </c:extLst>
        </c:ser>
        <c:ser>
          <c:idx val="2"/>
          <c:order val="2"/>
          <c:tx>
            <c:strRef>
              <c:f>'College Type-wise college count'!$D$3:$D$4</c:f>
              <c:strCache>
                <c:ptCount val="1"/>
                <c:pt idx="0">
                  <c:v>GOVERNMENT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D-923E-44AB-BFB9-5CA6B642FC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F-923E-44AB-BFB9-5CA6B642FC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1-923E-44AB-BFB9-5CA6B642FC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3-923E-44AB-BFB9-5CA6B642FC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5-923E-44AB-BFB9-5CA6B642FC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7-923E-44AB-BFB9-5CA6B642FC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9-923E-44AB-BFB9-5CA6B642FC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B-923E-44AB-BFB9-5CA6B642FC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D-923E-44AB-BFB9-5CA6B642FC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F-923E-44AB-BFB9-5CA6B642FC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1-923E-44AB-BFB9-5CA6B642FC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3-923E-44AB-BFB9-5CA6B642FC6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5-923E-44AB-BFB9-5CA6B642FC6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7-923E-44AB-BFB9-5CA6B642FC6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9-923E-44AB-BFB9-5CA6B642FC6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B-923E-44AB-BFB9-5CA6B642FC6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D-923E-44AB-BFB9-5CA6B642FC6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F-923E-44AB-BFB9-5CA6B642FC6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A1-923E-44AB-BFB9-5CA6B642FC6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A3-923E-44AB-BFB9-5CA6B642FC6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5-923E-44AB-BFB9-5CA6B642FC6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7-923E-44AB-BFB9-5CA6B642FC6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9-923E-44AB-BFB9-5CA6B642FC6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B-923E-44AB-BFB9-5CA6B642FC6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D-923E-44AB-BFB9-5CA6B642FC6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F-923E-44AB-BFB9-5CA6B642FC6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B1-923E-44AB-BFB9-5CA6B642FC6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B3-923E-44AB-BFB9-5CA6B642FC6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5-923E-44AB-BFB9-5CA6B642FC6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7-923E-44AB-BFB9-5CA6B642FC6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9-923E-44AB-BFB9-5CA6B642FC65}"/>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count'!$D$5:$D$36</c:f>
              <c:numCache>
                <c:formatCode>General</c:formatCode>
                <c:ptCount val="31"/>
                <c:pt idx="4">
                  <c:v>1</c:v>
                </c:pt>
                <c:pt idx="5">
                  <c:v>1</c:v>
                </c:pt>
                <c:pt idx="9">
                  <c:v>1</c:v>
                </c:pt>
                <c:pt idx="11">
                  <c:v>1</c:v>
                </c:pt>
                <c:pt idx="12">
                  <c:v>1</c:v>
                </c:pt>
                <c:pt idx="18">
                  <c:v>1</c:v>
                </c:pt>
                <c:pt idx="21">
                  <c:v>1</c:v>
                </c:pt>
              </c:numCache>
            </c:numRef>
          </c:val>
          <c:extLst>
            <c:ext xmlns:c16="http://schemas.microsoft.com/office/drawing/2014/chart" uri="{C3380CC4-5D6E-409C-BE32-E72D297353CC}">
              <c16:uniqueId val="{000000FF-00FE-4A10-A66B-AA7243A38514}"/>
            </c:ext>
          </c:extLst>
        </c:ser>
        <c:ser>
          <c:idx val="3"/>
          <c:order val="3"/>
          <c:tx>
            <c:strRef>
              <c:f>'College Type-wise college count'!$E$3:$E$4</c:f>
              <c:strCache>
                <c:ptCount val="1"/>
                <c:pt idx="0">
                  <c:v>PRIVATE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B-923E-44AB-BFB9-5CA6B642FC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D-923E-44AB-BFB9-5CA6B642FC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F-923E-44AB-BFB9-5CA6B642FC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1-923E-44AB-BFB9-5CA6B642FC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C3-923E-44AB-BFB9-5CA6B642FC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C5-923E-44AB-BFB9-5CA6B642FC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7-923E-44AB-BFB9-5CA6B642FC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9-923E-44AB-BFB9-5CA6B642FC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CB-923E-44AB-BFB9-5CA6B642FC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CD-923E-44AB-BFB9-5CA6B642FC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CF-923E-44AB-BFB9-5CA6B642FC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1-923E-44AB-BFB9-5CA6B642FC6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D3-923E-44AB-BFB9-5CA6B642FC6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D5-923E-44AB-BFB9-5CA6B642FC6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D7-923E-44AB-BFB9-5CA6B642FC6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D9-923E-44AB-BFB9-5CA6B642FC6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DB-923E-44AB-BFB9-5CA6B642FC6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DD-923E-44AB-BFB9-5CA6B642FC6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DF-923E-44AB-BFB9-5CA6B642FC6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1-923E-44AB-BFB9-5CA6B642FC6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E3-923E-44AB-BFB9-5CA6B642FC6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E5-923E-44AB-BFB9-5CA6B642FC6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E7-923E-44AB-BFB9-5CA6B642FC6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E9-923E-44AB-BFB9-5CA6B642FC6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EB-923E-44AB-BFB9-5CA6B642FC6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ED-923E-44AB-BFB9-5CA6B642FC6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EF-923E-44AB-BFB9-5CA6B642FC6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F1-923E-44AB-BFB9-5CA6B642FC6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F3-923E-44AB-BFB9-5CA6B642FC6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F5-923E-44AB-BFB9-5CA6B642FC6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F7-923E-44AB-BFB9-5CA6B642FC65}"/>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count'!$E$5:$E$36</c:f>
              <c:numCache>
                <c:formatCode>General</c:formatCode>
                <c:ptCount val="31"/>
                <c:pt idx="0">
                  <c:v>1</c:v>
                </c:pt>
                <c:pt idx="1">
                  <c:v>1</c:v>
                </c:pt>
                <c:pt idx="8">
                  <c:v>1</c:v>
                </c:pt>
                <c:pt idx="22">
                  <c:v>1</c:v>
                </c:pt>
              </c:numCache>
            </c:numRef>
          </c:val>
          <c:extLst>
            <c:ext xmlns:c16="http://schemas.microsoft.com/office/drawing/2014/chart" uri="{C3380CC4-5D6E-409C-BE32-E72D297353CC}">
              <c16:uniqueId val="{00000100-00FE-4A10-A66B-AA7243A38514}"/>
            </c:ext>
          </c:extLst>
        </c:ser>
        <c:ser>
          <c:idx val="4"/>
          <c:order val="4"/>
          <c:tx>
            <c:strRef>
              <c:f>'College Type-wise college count'!$F$3:$F$4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9-923E-44AB-BFB9-5CA6B642FC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B-923E-44AB-BFB9-5CA6B642FC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D-923E-44AB-BFB9-5CA6B642FC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F-923E-44AB-BFB9-5CA6B642FC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1-923E-44AB-BFB9-5CA6B642FC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03-923E-44AB-BFB9-5CA6B642FC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05-923E-44AB-BFB9-5CA6B642FC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07-923E-44AB-BFB9-5CA6B642FC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9-923E-44AB-BFB9-5CA6B642FC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B-923E-44AB-BFB9-5CA6B642FC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D-923E-44AB-BFB9-5CA6B642FC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F-923E-44AB-BFB9-5CA6B642FC6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1-923E-44AB-BFB9-5CA6B642FC6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13-923E-44AB-BFB9-5CA6B642FC6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5-923E-44AB-BFB9-5CA6B642FC6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17-923E-44AB-BFB9-5CA6B642FC6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9-923E-44AB-BFB9-5CA6B642FC6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B-923E-44AB-BFB9-5CA6B642FC6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D-923E-44AB-BFB9-5CA6B642FC6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F-923E-44AB-BFB9-5CA6B642FC6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21-923E-44AB-BFB9-5CA6B642FC6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23-923E-44AB-BFB9-5CA6B642FC6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5-923E-44AB-BFB9-5CA6B642FC6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27-923E-44AB-BFB9-5CA6B642FC6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9-923E-44AB-BFB9-5CA6B642FC6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B-923E-44AB-BFB9-5CA6B642FC6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D-923E-44AB-BFB9-5CA6B642FC6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F-923E-44AB-BFB9-5CA6B642FC6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31-923E-44AB-BFB9-5CA6B642FC6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33-923E-44AB-BFB9-5CA6B642FC6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35-923E-44AB-BFB9-5CA6B642FC65}"/>
              </c:ext>
            </c:extLst>
          </c:dPt>
          <c:cat>
            <c:strRef>
              <c:f>'College Type-wise college count'!$A$5:$A$36</c:f>
              <c:strCache>
                <c:ptCount val="31"/>
                <c:pt idx="0">
                  <c:v>A.G COLLEGE OF ARTS AND SCIENCE</c:v>
                </c:pt>
                <c:pt idx="1">
                  <c:v>A.V.P COLLEGE OF ARTS AND SCIENCE</c:v>
                </c:pt>
                <c:pt idx="2">
                  <c:v>AMERICAN COLLEGE</c:v>
                </c:pt>
                <c:pt idx="3">
                  <c:v>AMRITA VISHWA VIDYAPEETHAM</c:v>
                </c:pt>
                <c:pt idx="4">
                  <c:v>ANNA UNIVERSITY, CEG CAMPUS</c:v>
                </c:pt>
                <c:pt idx="5">
                  <c:v>AVINASHI GOVERNMENT ARTS AND SCIENCE COLLEGE</c:v>
                </c:pt>
                <c:pt idx="6">
                  <c:v>BANNARI AMMAN INSTITUTE OF TECHNOLOGY</c:v>
                </c:pt>
                <c:pt idx="7">
                  <c:v>BUILDER ENGINEERING COLLEGE</c:v>
                </c:pt>
                <c:pt idx="8">
                  <c:v>CHERAN COLLEGE OF ARTS AND SCIENCE</c:v>
                </c:pt>
                <c:pt idx="9">
                  <c:v>CHIKKANNA ARTS COLLEGE</c:v>
                </c:pt>
                <c:pt idx="10">
                  <c:v>Dr.N.G.P COLEEGE OF ARTS AND SCIENCE</c:v>
                </c:pt>
                <c:pt idx="11">
                  <c:v>GOVERNMENT COLLEGE OF TECHNOLOGY</c:v>
                </c:pt>
                <c:pt idx="12">
                  <c:v>INDIAN INSTITUTE OF TECHNOLOGY MADRAS</c:v>
                </c:pt>
                <c:pt idx="13">
                  <c:v>KALASALINGAM ACADEMY OF RESEARCH AND EDUCATION</c:v>
                </c:pt>
                <c:pt idx="14">
                  <c:v>KONGUNADU COLLEGE OF ARTS  AND SCIENCE</c:v>
                </c:pt>
                <c:pt idx="15">
                  <c:v>KPR ENGINEERING AND TECHNOLOGY COLLEGE</c:v>
                </c:pt>
                <c:pt idx="16">
                  <c:v>KUMARAGURU COLLEGE OF TECHNOLOGY</c:v>
                </c:pt>
                <c:pt idx="17">
                  <c:v>LOYOLA COLLEGE</c:v>
                </c:pt>
                <c:pt idx="18">
                  <c:v>LRG COLLEGE OF ARTS AND SCIENCE FOR WOMEN</c:v>
                </c:pt>
                <c:pt idx="19">
                  <c:v>MADRAS CHRISTIAN COLLEGE</c:v>
                </c:pt>
                <c:pt idx="20">
                  <c:v>NANDHA ENGINEERING COLLEGE</c:v>
                </c:pt>
                <c:pt idx="21">
                  <c:v>NATIONAL INSTITUTE OF TECHNOLOGY</c:v>
                </c:pt>
                <c:pt idx="22">
                  <c:v>PARK'S COLLEGE</c:v>
                </c:pt>
                <c:pt idx="23">
                  <c:v>PSG COLLEGE OF ARTS AND SCIENCE</c:v>
                </c:pt>
                <c:pt idx="24">
                  <c:v>PSG TECHNOLOGY AND APPLIED RESEARCH</c:v>
                </c:pt>
                <c:pt idx="25">
                  <c:v>SATHYABAMA SCIENCE AND TECHNOLOGY</c:v>
                </c:pt>
                <c:pt idx="26">
                  <c:v>SSN COLLEGE OF ENGINEERING</c:v>
                </c:pt>
                <c:pt idx="27">
                  <c:v>STELLA MARIS COLLEGE</c:v>
                </c:pt>
                <c:pt idx="28">
                  <c:v>THIAGARAJAR COLLEGE</c:v>
                </c:pt>
                <c:pt idx="29">
                  <c:v>VEL TECH</c:v>
                </c:pt>
                <c:pt idx="30">
                  <c:v>(blank)</c:v>
                </c:pt>
              </c:strCache>
            </c:strRef>
          </c:cat>
          <c:val>
            <c:numRef>
              <c:f>'College Type-wise college count'!$F$5:$F$36</c:f>
              <c:numCache>
                <c:formatCode>General</c:formatCode>
                <c:ptCount val="31"/>
              </c:numCache>
            </c:numRef>
          </c:val>
          <c:extLst>
            <c:ext xmlns:c16="http://schemas.microsoft.com/office/drawing/2014/chart" uri="{C3380CC4-5D6E-409C-BE32-E72D297353CC}">
              <c16:uniqueId val="{00000101-00FE-4A10-A66B-AA7243A385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358140</xdr:colOff>
      <xdr:row>4</xdr:row>
      <xdr:rowOff>99060</xdr:rowOff>
    </xdr:from>
    <xdr:to>
      <xdr:col>16</xdr:col>
      <xdr:colOff>213360</xdr:colOff>
      <xdr:row>22</xdr:row>
      <xdr:rowOff>49530</xdr:rowOff>
    </xdr:to>
    <xdr:graphicFrame macro="">
      <xdr:nvGraphicFramePr>
        <xdr:cNvPr id="2" name="Chart 1">
          <a:extLst>
            <a:ext uri="{FF2B5EF4-FFF2-40B4-BE49-F238E27FC236}">
              <a16:creationId xmlns:a16="http://schemas.microsoft.com/office/drawing/2014/main" id="{D7BA2E47-206F-1363-F38D-F7398B299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182880</xdr:colOff>
      <xdr:row>3</xdr:row>
      <xdr:rowOff>30481</xdr:rowOff>
    </xdr:from>
    <xdr:to>
      <xdr:col>20</xdr:col>
      <xdr:colOff>182880</xdr:colOff>
      <xdr:row>13</xdr:row>
      <xdr:rowOff>144781</xdr:rowOff>
    </xdr:to>
    <mc:AlternateContent xmlns:mc="http://schemas.openxmlformats.org/markup-compatibility/2006">
      <mc:Choice xmlns:a14="http://schemas.microsoft.com/office/drawing/2010/main" Requires="a14">
        <xdr:graphicFrame macro="">
          <xdr:nvGraphicFramePr>
            <xdr:cNvPr id="4" name="NAAC GRADE">
              <a:extLst>
                <a:ext uri="{FF2B5EF4-FFF2-40B4-BE49-F238E27FC236}">
                  <a16:creationId xmlns:a16="http://schemas.microsoft.com/office/drawing/2014/main" id="{984D1B02-B93A-0D27-F7FF-CBBDF81082DA}"/>
                </a:ext>
              </a:extLst>
            </xdr:cNvPr>
            <xdr:cNvGraphicFramePr/>
          </xdr:nvGraphicFramePr>
          <xdr:xfrm>
            <a:off x="0" y="0"/>
            <a:ext cx="0" cy="0"/>
          </xdr:xfrm>
          <a:graphic>
            <a:graphicData uri="http://schemas.microsoft.com/office/drawing/2010/slicer">
              <sle:slicer xmlns:sle="http://schemas.microsoft.com/office/drawing/2010/slicer" name="NAAC GRADE"/>
            </a:graphicData>
          </a:graphic>
        </xdr:graphicFrame>
      </mc:Choice>
      <mc:Fallback>
        <xdr:sp macro="" textlink="">
          <xdr:nvSpPr>
            <xdr:cNvPr id="0" name=""/>
            <xdr:cNvSpPr>
              <a:spLocks noTextEdit="1"/>
            </xdr:cNvSpPr>
          </xdr:nvSpPr>
          <xdr:spPr>
            <a:xfrm>
              <a:off x="12885420" y="579121"/>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4</xdr:row>
      <xdr:rowOff>83820</xdr:rowOff>
    </xdr:from>
    <xdr:to>
      <xdr:col>11</xdr:col>
      <xdr:colOff>320040</xdr:colOff>
      <xdr:row>21</xdr:row>
      <xdr:rowOff>19050</xdr:rowOff>
    </xdr:to>
    <xdr:graphicFrame macro="">
      <xdr:nvGraphicFramePr>
        <xdr:cNvPr id="2" name="Chart 1">
          <a:extLst>
            <a:ext uri="{FF2B5EF4-FFF2-40B4-BE49-F238E27FC236}">
              <a16:creationId xmlns:a16="http://schemas.microsoft.com/office/drawing/2014/main" id="{C5728406-B962-B68B-986B-70C680882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3</xdr:row>
      <xdr:rowOff>80010</xdr:rowOff>
    </xdr:from>
    <xdr:to>
      <xdr:col>8</xdr:col>
      <xdr:colOff>396240</xdr:colOff>
      <xdr:row>20</xdr:row>
      <xdr:rowOff>53340</xdr:rowOff>
    </xdr:to>
    <xdr:graphicFrame macro="">
      <xdr:nvGraphicFramePr>
        <xdr:cNvPr id="2" name="Chart 1">
          <a:extLst>
            <a:ext uri="{FF2B5EF4-FFF2-40B4-BE49-F238E27FC236}">
              <a16:creationId xmlns:a16="http://schemas.microsoft.com/office/drawing/2014/main" id="{C773AD69-9400-08DF-02F4-289202A60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1501140</xdr:colOff>
      <xdr:row>4</xdr:row>
      <xdr:rowOff>26670</xdr:rowOff>
    </xdr:from>
    <xdr:to>
      <xdr:col>10</xdr:col>
      <xdr:colOff>38100</xdr:colOff>
      <xdr:row>19</xdr:row>
      <xdr:rowOff>26670</xdr:rowOff>
    </xdr:to>
    <xdr:graphicFrame macro="">
      <xdr:nvGraphicFramePr>
        <xdr:cNvPr id="2" name="Chart 1">
          <a:extLst>
            <a:ext uri="{FF2B5EF4-FFF2-40B4-BE49-F238E27FC236}">
              <a16:creationId xmlns:a16="http://schemas.microsoft.com/office/drawing/2014/main" id="{4B7F5934-993B-8247-DEEC-FD7066002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403860</xdr:colOff>
      <xdr:row>3</xdr:row>
      <xdr:rowOff>30480</xdr:rowOff>
    </xdr:from>
    <xdr:to>
      <xdr:col>13</xdr:col>
      <xdr:colOff>403860</xdr:colOff>
      <xdr:row>11</xdr:row>
      <xdr:rowOff>22859</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8FDCE778-3151-D7CF-81CC-5FBF0931237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745980" y="579120"/>
              <a:ext cx="182880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1203960</xdr:colOff>
      <xdr:row>4</xdr:row>
      <xdr:rowOff>34290</xdr:rowOff>
    </xdr:from>
    <xdr:to>
      <xdr:col>7</xdr:col>
      <xdr:colOff>1767840</xdr:colOff>
      <xdr:row>19</xdr:row>
      <xdr:rowOff>34290</xdr:rowOff>
    </xdr:to>
    <xdr:graphicFrame macro="">
      <xdr:nvGraphicFramePr>
        <xdr:cNvPr id="3" name="Chart 2">
          <a:extLst>
            <a:ext uri="{FF2B5EF4-FFF2-40B4-BE49-F238E27FC236}">
              <a16:creationId xmlns:a16="http://schemas.microsoft.com/office/drawing/2014/main" id="{3DD98B9D-1452-8F04-AD9F-D531219C5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2057400</xdr:colOff>
      <xdr:row>3</xdr:row>
      <xdr:rowOff>30480</xdr:rowOff>
    </xdr:from>
    <xdr:to>
      <xdr:col>9</xdr:col>
      <xdr:colOff>22860</xdr:colOff>
      <xdr:row>16</xdr:row>
      <xdr:rowOff>120015</xdr:rowOff>
    </xdr:to>
    <mc:AlternateContent xmlns:mc="http://schemas.openxmlformats.org/markup-compatibility/2006" xmlns:a14="http://schemas.microsoft.com/office/drawing/2010/main">
      <mc:Choice Requires="a14">
        <xdr:graphicFrame macro="">
          <xdr:nvGraphicFramePr>
            <xdr:cNvPr id="4" name="DISTRICT 1">
              <a:extLst>
                <a:ext uri="{FF2B5EF4-FFF2-40B4-BE49-F238E27FC236}">
                  <a16:creationId xmlns:a16="http://schemas.microsoft.com/office/drawing/2014/main" id="{95579A78-5A38-A6A7-BF70-9DCEA88B72E9}"/>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900684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281940</xdr:colOff>
      <xdr:row>4</xdr:row>
      <xdr:rowOff>87630</xdr:rowOff>
    </xdr:from>
    <xdr:to>
      <xdr:col>15</xdr:col>
      <xdr:colOff>586740</xdr:colOff>
      <xdr:row>19</xdr:row>
      <xdr:rowOff>87630</xdr:rowOff>
    </xdr:to>
    <xdr:graphicFrame macro="">
      <xdr:nvGraphicFramePr>
        <xdr:cNvPr id="2" name="Chart 1">
          <a:extLst>
            <a:ext uri="{FF2B5EF4-FFF2-40B4-BE49-F238E27FC236}">
              <a16:creationId xmlns:a16="http://schemas.microsoft.com/office/drawing/2014/main" id="{46E214E0-15BC-A4CD-E621-0FE898F5F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144780</xdr:colOff>
      <xdr:row>2</xdr:row>
      <xdr:rowOff>22860</xdr:rowOff>
    </xdr:from>
    <xdr:to>
      <xdr:col>6</xdr:col>
      <xdr:colOff>571500</xdr:colOff>
      <xdr:row>16</xdr:row>
      <xdr:rowOff>167640</xdr:rowOff>
    </xdr:to>
    <xdr:graphicFrame macro="">
      <xdr:nvGraphicFramePr>
        <xdr:cNvPr id="2" name="Chart 1">
          <a:extLst>
            <a:ext uri="{FF2B5EF4-FFF2-40B4-BE49-F238E27FC236}">
              <a16:creationId xmlns:a16="http://schemas.microsoft.com/office/drawing/2014/main" id="{DEB8FC4B-8285-4355-85D1-1A97D6D4D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2</xdr:row>
      <xdr:rowOff>30480</xdr:rowOff>
    </xdr:from>
    <xdr:to>
      <xdr:col>14</xdr:col>
      <xdr:colOff>586740</xdr:colOff>
      <xdr:row>16</xdr:row>
      <xdr:rowOff>171450</xdr:rowOff>
    </xdr:to>
    <xdr:graphicFrame macro="">
      <xdr:nvGraphicFramePr>
        <xdr:cNvPr id="3" name="Chart 2">
          <a:extLst>
            <a:ext uri="{FF2B5EF4-FFF2-40B4-BE49-F238E27FC236}">
              <a16:creationId xmlns:a16="http://schemas.microsoft.com/office/drawing/2014/main" id="{6D2324ED-1B92-47A6-9627-CF8198B21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251460</xdr:colOff>
      <xdr:row>2</xdr:row>
      <xdr:rowOff>38100</xdr:rowOff>
    </xdr:from>
    <xdr:to>
      <xdr:col>22</xdr:col>
      <xdr:colOff>312420</xdr:colOff>
      <xdr:row>16</xdr:row>
      <xdr:rowOff>144780</xdr:rowOff>
    </xdr:to>
    <xdr:graphicFrame macro="">
      <xdr:nvGraphicFramePr>
        <xdr:cNvPr id="4" name="Chart 3">
          <a:extLst>
            <a:ext uri="{FF2B5EF4-FFF2-40B4-BE49-F238E27FC236}">
              <a16:creationId xmlns:a16="http://schemas.microsoft.com/office/drawing/2014/main" id="{F6FB8E78-6CC4-4D52-BAC2-1D878D063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137160</xdr:colOff>
      <xdr:row>18</xdr:row>
      <xdr:rowOff>38100</xdr:rowOff>
    </xdr:from>
    <xdr:to>
      <xdr:col>6</xdr:col>
      <xdr:colOff>594360</xdr:colOff>
      <xdr:row>32</xdr:row>
      <xdr:rowOff>53340</xdr:rowOff>
    </xdr:to>
    <xdr:graphicFrame macro="">
      <xdr:nvGraphicFramePr>
        <xdr:cNvPr id="5" name="Chart 4">
          <a:extLst>
            <a:ext uri="{FF2B5EF4-FFF2-40B4-BE49-F238E27FC236}">
              <a16:creationId xmlns:a16="http://schemas.microsoft.com/office/drawing/2014/main" id="{CB9A2DA7-E128-4734-AE22-8B49634DB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320040</xdr:colOff>
      <xdr:row>18</xdr:row>
      <xdr:rowOff>38100</xdr:rowOff>
    </xdr:from>
    <xdr:to>
      <xdr:col>14</xdr:col>
      <xdr:colOff>594360</xdr:colOff>
      <xdr:row>32</xdr:row>
      <xdr:rowOff>76200</xdr:rowOff>
    </xdr:to>
    <xdr:graphicFrame macro="">
      <xdr:nvGraphicFramePr>
        <xdr:cNvPr id="6" name="Chart 5">
          <a:extLst>
            <a:ext uri="{FF2B5EF4-FFF2-40B4-BE49-F238E27FC236}">
              <a16:creationId xmlns:a16="http://schemas.microsoft.com/office/drawing/2014/main" id="{9D9B3435-83FC-47E0-B08D-90065017E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236220</xdr:colOff>
      <xdr:row>18</xdr:row>
      <xdr:rowOff>38100</xdr:rowOff>
    </xdr:from>
    <xdr:to>
      <xdr:col>22</xdr:col>
      <xdr:colOff>365760</xdr:colOff>
      <xdr:row>32</xdr:row>
      <xdr:rowOff>83820</xdr:rowOff>
    </xdr:to>
    <xdr:graphicFrame macro="">
      <xdr:nvGraphicFramePr>
        <xdr:cNvPr id="7" name="Chart 6">
          <a:extLst>
            <a:ext uri="{FF2B5EF4-FFF2-40B4-BE49-F238E27FC236}">
              <a16:creationId xmlns:a16="http://schemas.microsoft.com/office/drawing/2014/main" id="{A12238C3-0771-4F18-AD75-86AC6BD1C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541020</xdr:colOff>
      <xdr:row>24</xdr:row>
      <xdr:rowOff>83820</xdr:rowOff>
    </xdr:from>
    <xdr:to>
      <xdr:col>25</xdr:col>
      <xdr:colOff>541020</xdr:colOff>
      <xdr:row>35</xdr:row>
      <xdr:rowOff>15240</xdr:rowOff>
    </xdr:to>
    <mc:AlternateContent xmlns:mc="http://schemas.openxmlformats.org/markup-compatibility/2006" xmlns:a14="http://schemas.microsoft.com/office/drawing/2010/main">
      <mc:Choice Requires="a14">
        <xdr:graphicFrame macro="">
          <xdr:nvGraphicFramePr>
            <xdr:cNvPr id="8" name="NAAC GRADE 1">
              <a:extLst>
                <a:ext uri="{FF2B5EF4-FFF2-40B4-BE49-F238E27FC236}">
                  <a16:creationId xmlns:a16="http://schemas.microsoft.com/office/drawing/2014/main" id="{3C872F50-D67E-4E4A-B683-F73157B43A42}"/>
                </a:ext>
              </a:extLst>
            </xdr:cNvPr>
            <xdr:cNvGraphicFramePr/>
          </xdr:nvGraphicFramePr>
          <xdr:xfrm>
            <a:off x="0" y="0"/>
            <a:ext cx="0" cy="0"/>
          </xdr:xfrm>
          <a:graphic>
            <a:graphicData uri="http://schemas.microsoft.com/office/drawing/2010/slicer">
              <sle:slicer xmlns:sle="http://schemas.microsoft.com/office/drawing/2010/slicer" name="NAAC GRADE 1"/>
            </a:graphicData>
          </a:graphic>
        </xdr:graphicFrame>
      </mc:Choice>
      <mc:Fallback xmlns="">
        <xdr:sp macro="" textlink="">
          <xdr:nvSpPr>
            <xdr:cNvPr id="0" name=""/>
            <xdr:cNvSpPr>
              <a:spLocks noTextEdit="1"/>
            </xdr:cNvSpPr>
          </xdr:nvSpPr>
          <xdr:spPr>
            <a:xfrm>
              <a:off x="13952220" y="4518660"/>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525780</xdr:colOff>
      <xdr:row>16</xdr:row>
      <xdr:rowOff>0</xdr:rowOff>
    </xdr:from>
    <xdr:to>
      <xdr:col>25</xdr:col>
      <xdr:colOff>525780</xdr:colOff>
      <xdr:row>23</xdr:row>
      <xdr:rowOff>175259</xdr:rowOff>
    </xdr:to>
    <mc:AlternateContent xmlns:mc="http://schemas.openxmlformats.org/markup-compatibility/2006" xmlns:a14="http://schemas.microsoft.com/office/drawing/2010/main">
      <mc:Choice Requires="a14">
        <xdr:graphicFrame macro="">
          <xdr:nvGraphicFramePr>
            <xdr:cNvPr id="9" name="TYPE 1">
              <a:extLst>
                <a:ext uri="{FF2B5EF4-FFF2-40B4-BE49-F238E27FC236}">
                  <a16:creationId xmlns:a16="http://schemas.microsoft.com/office/drawing/2014/main" id="{72F29D87-460B-4A55-937A-9EEB83F8B9F8}"/>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3936980" y="2971800"/>
              <a:ext cx="182880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518160</xdr:colOff>
      <xdr:row>2</xdr:row>
      <xdr:rowOff>0</xdr:rowOff>
    </xdr:from>
    <xdr:to>
      <xdr:col>25</xdr:col>
      <xdr:colOff>518160</xdr:colOff>
      <xdr:row>15</xdr:row>
      <xdr:rowOff>89535</xdr:rowOff>
    </xdr:to>
    <mc:AlternateContent xmlns:mc="http://schemas.openxmlformats.org/markup-compatibility/2006" xmlns:a14="http://schemas.microsoft.com/office/drawing/2010/main">
      <mc:Choice Requires="a14">
        <xdr:graphicFrame macro="">
          <xdr:nvGraphicFramePr>
            <xdr:cNvPr id="10" name="DISTRICT 2">
              <a:extLst>
                <a:ext uri="{FF2B5EF4-FFF2-40B4-BE49-F238E27FC236}">
                  <a16:creationId xmlns:a16="http://schemas.microsoft.com/office/drawing/2014/main" id="{F6B80C15-3BD6-43C1-842C-49CB96A6D1A0}"/>
                </a:ext>
              </a:extLst>
            </xdr:cNvPr>
            <xdr:cNvGraphicFramePr/>
          </xdr:nvGraphicFramePr>
          <xdr:xfrm>
            <a:off x="0" y="0"/>
            <a:ext cx="0" cy="0"/>
          </xdr:xfrm>
          <a:graphic>
            <a:graphicData uri="http://schemas.microsoft.com/office/drawing/2010/slicer">
              <sle:slicer xmlns:sle="http://schemas.microsoft.com/office/drawing/2010/slicer" name="DISTRICT 2"/>
            </a:graphicData>
          </a:graphic>
        </xdr:graphicFrame>
      </mc:Choice>
      <mc:Fallback xmlns="">
        <xdr:sp macro="" textlink="">
          <xdr:nvSpPr>
            <xdr:cNvPr id="0" name=""/>
            <xdr:cNvSpPr>
              <a:spLocks noTextEdit="1"/>
            </xdr:cNvSpPr>
          </xdr:nvSpPr>
          <xdr:spPr>
            <a:xfrm>
              <a:off x="1392936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1.758640740743" createdVersion="8" refreshedVersion="8" minRefreshableVersion="3" recordCount="31" xr:uid="{FB4A5B10-0301-43F1-B8F2-8D994441285E}">
  <cacheSource type="worksheet">
    <worksheetSource ref="A1:M1048576" sheet="Calculation"/>
  </cacheSource>
  <cacheFields count="13">
    <cacheField name="COLLEGE NAME" numFmtId="0">
      <sharedItems containsBlank="1" count="31">
        <s v="A.V.P COLLEGE OF ARTS AND SCIENCE"/>
        <s v="PARK'S COLLEGE"/>
        <s v="CHERAN COLLEGE OF ARTS AND SCIENCE"/>
        <s v="LRG COLLEGE OF ARTS AND SCIENCE FOR WOMEN"/>
        <s v="CHIKKANNA ARTS COLLEGE"/>
        <s v="LOYOLA COLLEGE"/>
        <s v="PSG COLLEGE OF ARTS AND SCIENCE"/>
        <s v="Dr.N.G.P COLEEGE OF ARTS AND SCIENCE"/>
        <s v="AMERICAN COLLEGE"/>
        <s v="MADRAS CHRISTIAN COLLEGE"/>
        <s v="STELLA MARIS COLLEGE"/>
        <s v="AVINASHI GOVERNMENT ARTS AND SCIENCE COLLEGE"/>
        <s v="A.G COLLEGE OF ARTS AND SCIENCE"/>
        <s v="KONGUNADU COLLEGE OF ARTS  AND SCIENCE"/>
        <s v="THIAGARAJAR COLLEGE"/>
        <s v="BUILDER ENGINEERING COLLEGE"/>
        <s v="KPR ENGINEERING AND TECHNOLOGY COLLEGE"/>
        <s v="AMRITA VISHWA VIDYAPEETHAM"/>
        <s v="KUMARAGURU COLLEGE OF TECHNOLOGY"/>
        <s v="BANNARI AMMAN INSTITUTE OF TECHNOLOGY"/>
        <s v="GOVERNMENT COLLEGE OF TECHNOLOGY"/>
        <s v="ANNA UNIVERSITY, CEG CAMPUS"/>
        <s v="NANDHA ENGINEERING COLLEGE"/>
        <s v="SATHYABAMA SCIENCE AND TECHNOLOGY"/>
        <s v="VEL TECH"/>
        <s v="PSG TECHNOLOGY AND APPLIED RESEARCH"/>
        <s v="SSN COLLEGE OF ENGINEERING"/>
        <s v="NATIONAL INSTITUTE OF TECHNOLOGY"/>
        <s v="KALASALINGAM ACADEMY OF RESEARCH AND EDUCATION"/>
        <s v="INDIAN INSTITUTE OF TECHNOLOGY MADRAS"/>
        <m/>
      </sharedItems>
    </cacheField>
    <cacheField name="DISTRICT" numFmtId="0">
      <sharedItems containsBlank="1" count="9">
        <s v="TIRUPUR"/>
        <s v="CHENNAI"/>
        <s v="COIMBATORE"/>
        <s v="MADURAI"/>
        <s v="CHENGALPATTU"/>
        <s v="ERODE"/>
        <s v="TIRUCHIRAPPALLI"/>
        <s v="VIRUDHUNAGAR"/>
        <m/>
      </sharedItems>
    </cacheField>
    <cacheField name="TYPE" numFmtId="0">
      <sharedItems containsBlank="1" count="5">
        <s v="PRIVATE"/>
        <s v="GOVERNMENT"/>
        <s v="AUTONOMOUS"/>
        <s v="DEEMED UNIVERSITY"/>
        <m/>
      </sharedItems>
    </cacheField>
    <cacheField name="NAAC GRADE" numFmtId="0">
      <sharedItems containsBlank="1" count="7">
        <s v="A"/>
        <s v="B++"/>
        <s v="B+"/>
        <s v="A++"/>
        <s v="A+"/>
        <s v="B"/>
        <m/>
      </sharedItems>
    </cacheField>
    <cacheField name="TNEA CUTOFF 2026" numFmtId="0">
      <sharedItems containsBlank="1" count="12">
        <s v="NOT APPLICABLE"/>
        <s v="140-165"/>
        <s v="180-185+"/>
        <s v="180-188+"/>
        <s v="~173-189.5"/>
        <s v="175+"/>
        <s v="187-200"/>
        <s v="150-175"/>
        <s v="183-197.5"/>
        <s v="199+"/>
        <s v="140+"/>
        <m/>
      </sharedItems>
    </cacheField>
    <cacheField name="TOTAL 3/4 YEAR COST" numFmtId="0">
      <sharedItems containsString="0" containsBlank="1" containsNumber="1" containsInteger="1" minValue="5745" maxValue="1390000"/>
    </cacheField>
    <cacheField name="AVERAGE PACKAGE LPA" numFmtId="2">
      <sharedItems containsBlank="1"/>
    </cacheField>
    <cacheField name="HEADING PACKAGE" numFmtId="0">
      <sharedItems containsString="0" containsBlank="1" containsNumber="1" minValue="1.29" maxValue="24.2"/>
    </cacheField>
    <cacheField name="PLACEMENT%" numFmtId="0">
      <sharedItems containsBlank="1" containsMixedTypes="1" containsNumber="1" minValue="45" maxValue="95"/>
    </cacheField>
    <cacheField name="PAYBACK RATIO" numFmtId="0">
      <sharedItems containsString="0" containsBlank="1" containsNumber="1" minValue="0.17665615141955837" maxValue="32.027850304612706"/>
    </cacheField>
    <cacheField name="FEES CATEGORY" numFmtId="0">
      <sharedItems containsBlank="1"/>
    </cacheField>
    <cacheField name="PLACEMENT CATEGORY" numFmtId="0">
      <sharedItems containsBlank="1" count="3">
        <s v="Low placement"/>
        <s v="High Placement"/>
        <m/>
      </sharedItems>
    </cacheField>
    <cacheField name="RECOMMENDATION" numFmtId="0">
      <sharedItems containsBlank="1"/>
    </cacheField>
  </cacheFields>
  <extLst>
    <ext xmlns:x14="http://schemas.microsoft.com/office/spreadsheetml/2009/9/main" uri="{725AE2AE-9491-48be-B2B4-4EB974FC3084}">
      <x14:pivotCacheDefinition pivotCacheId="1027152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n v="792500"/>
    <s v="1.4 LPA"/>
    <n v="1.4"/>
    <n v="70"/>
    <n v="0.17665615141955837"/>
    <s v="High Cost"/>
    <x v="0"/>
    <s v="Compare More"/>
  </r>
  <r>
    <x v="1"/>
    <x v="0"/>
    <x v="0"/>
    <x v="0"/>
    <x v="0"/>
    <n v="128000"/>
    <s v=" 1.29 LPA"/>
    <n v="1.29"/>
    <n v="72.5"/>
    <n v="1.0078125"/>
    <s v="Budget Friendly"/>
    <x v="0"/>
    <s v="Compare More"/>
  </r>
  <r>
    <x v="2"/>
    <x v="0"/>
    <x v="0"/>
    <x v="1"/>
    <x v="0"/>
    <n v="105000"/>
    <s v="3.0 LPA"/>
    <n v="3"/>
    <n v="75"/>
    <n v="2.8571428571428572"/>
    <s v="Budget Friendly"/>
    <x v="0"/>
    <s v="Compare More"/>
  </r>
  <r>
    <x v="3"/>
    <x v="0"/>
    <x v="1"/>
    <x v="2"/>
    <x v="0"/>
    <n v="6300"/>
    <s v=" 1.5 LPA"/>
    <n v="1.5"/>
    <n v="70"/>
    <n v="23.80952380952381"/>
    <s v="Budget Friendly"/>
    <x v="0"/>
    <s v="Compare More"/>
  </r>
  <r>
    <x v="4"/>
    <x v="0"/>
    <x v="1"/>
    <x v="1"/>
    <x v="0"/>
    <n v="5745"/>
    <s v="1.84 LPA"/>
    <n v="1.84"/>
    <n v="88"/>
    <n v="32.027850304612706"/>
    <s v="Budget Friendly"/>
    <x v="1"/>
    <s v="Recommended"/>
  </r>
  <r>
    <x v="5"/>
    <x v="1"/>
    <x v="2"/>
    <x v="3"/>
    <x v="0"/>
    <n v="321500"/>
    <s v=" 6.34 LPA"/>
    <n v="6.34"/>
    <n v="95"/>
    <n v="1.9720062208398135"/>
    <s v="Budget Friendly"/>
    <x v="1"/>
    <s v="Recommended"/>
  </r>
  <r>
    <x v="6"/>
    <x v="2"/>
    <x v="2"/>
    <x v="3"/>
    <x v="0"/>
    <n v="195000"/>
    <s v="3.83 LPA"/>
    <n v="3.83"/>
    <n v="83"/>
    <n v="1.964102564102564"/>
    <s v="Budget Friendly"/>
    <x v="1"/>
    <s v="Recommended"/>
  </r>
  <r>
    <x v="7"/>
    <x v="2"/>
    <x v="2"/>
    <x v="3"/>
    <x v="0"/>
    <n v="225000"/>
    <s v="3.7 LPA"/>
    <n v="3.7"/>
    <n v="90"/>
    <n v="1.6444444444444444"/>
    <s v="Budget Friendly"/>
    <x v="1"/>
    <s v="Recommended"/>
  </r>
  <r>
    <x v="8"/>
    <x v="3"/>
    <x v="2"/>
    <x v="3"/>
    <x v="0"/>
    <n v="143500"/>
    <s v="2.10 LPA"/>
    <n v="2.1"/>
    <n v="60"/>
    <n v="1.4634146341463414"/>
    <s v="Budget Friendly"/>
    <x v="0"/>
    <s v="Compare More"/>
  </r>
  <r>
    <x v="9"/>
    <x v="4"/>
    <x v="2"/>
    <x v="0"/>
    <x v="0"/>
    <n v="146880"/>
    <s v="3.60 LPA"/>
    <n v="3.6"/>
    <n v="90"/>
    <n v="2.4509803921568629"/>
    <s v="Budget Friendly"/>
    <x v="1"/>
    <s v="Recommended"/>
  </r>
  <r>
    <x v="10"/>
    <x v="1"/>
    <x v="2"/>
    <x v="4"/>
    <x v="0"/>
    <n v="165000"/>
    <s v=" 4.60 LPA"/>
    <n v="4.5999999999999996"/>
    <n v="45"/>
    <n v="2.7878787878787876"/>
    <s v="Budget Friendly"/>
    <x v="0"/>
    <s v="Compare More"/>
  </r>
  <r>
    <x v="11"/>
    <x v="0"/>
    <x v="1"/>
    <x v="5"/>
    <x v="0"/>
    <n v="7500"/>
    <s v=" 1.56 LPA"/>
    <n v="1.56"/>
    <n v="49"/>
    <n v="20.8"/>
    <s v="Budget Friendly"/>
    <x v="0"/>
    <s v="Compare More"/>
  </r>
  <r>
    <x v="12"/>
    <x v="0"/>
    <x v="0"/>
    <x v="2"/>
    <x v="0"/>
    <n v="60000"/>
    <s v=" 1.5 LPA"/>
    <n v="1.5"/>
    <n v="83"/>
    <n v="2.5"/>
    <s v="Budget Friendly"/>
    <x v="1"/>
    <s v="Recommended"/>
  </r>
  <r>
    <x v="13"/>
    <x v="2"/>
    <x v="2"/>
    <x v="4"/>
    <x v="0"/>
    <n v="155000"/>
    <s v=" 4.0 LPA"/>
    <n v="4"/>
    <n v="95"/>
    <n v="2.5806451612903225"/>
    <s v="Budget Friendly"/>
    <x v="1"/>
    <s v="Recommended"/>
  </r>
  <r>
    <x v="14"/>
    <x v="3"/>
    <x v="2"/>
    <x v="3"/>
    <x v="0"/>
    <n v="156000"/>
    <s v=" 3.4 LPA"/>
    <n v="3.4"/>
    <n v="83"/>
    <n v="2.1794871794871793"/>
    <s v="Budget Friendly"/>
    <x v="1"/>
    <s v="Recommended"/>
  </r>
  <r>
    <x v="15"/>
    <x v="0"/>
    <x v="2"/>
    <x v="4"/>
    <x v="1"/>
    <n v="284000"/>
    <s v="4.0 LPA"/>
    <n v="4"/>
    <n v="79"/>
    <n v="1.408450704225352"/>
    <s v="Budget Friendly"/>
    <x v="0"/>
    <s v="Compare More"/>
  </r>
  <r>
    <x v="16"/>
    <x v="2"/>
    <x v="2"/>
    <x v="0"/>
    <x v="2"/>
    <n v="343800"/>
    <s v="5.20 LPA"/>
    <n v="5.2"/>
    <n v="92"/>
    <n v="1.5125072716695753"/>
    <s v="Budget Friendly"/>
    <x v="1"/>
    <s v="Recommended"/>
  </r>
  <r>
    <x v="17"/>
    <x v="2"/>
    <x v="3"/>
    <x v="3"/>
    <x v="0"/>
    <n v="171000"/>
    <s v="9.08 LPA"/>
    <n v="9.08"/>
    <n v="94"/>
    <n v="5.3099415204678362"/>
    <s v="Budget Friendly"/>
    <x v="1"/>
    <s v="Recommended"/>
  </r>
  <r>
    <x v="18"/>
    <x v="2"/>
    <x v="2"/>
    <x v="3"/>
    <x v="3"/>
    <n v="454900"/>
    <s v=" 5.70 LPA"/>
    <n v="5.7"/>
    <n v="78"/>
    <n v="1.2530226423389756"/>
    <s v="High Cost"/>
    <x v="0"/>
    <s v="Compare More"/>
  </r>
  <r>
    <x v="19"/>
    <x v="5"/>
    <x v="2"/>
    <x v="4"/>
    <x v="4"/>
    <n v="250000"/>
    <s v="5.16 LPA"/>
    <n v="5.16"/>
    <n v="93"/>
    <n v="2.0640000000000001"/>
    <s v="Budget Friendly"/>
    <x v="1"/>
    <s v="Recommended"/>
  </r>
  <r>
    <x v="20"/>
    <x v="2"/>
    <x v="1"/>
    <x v="0"/>
    <x v="5"/>
    <n v="473300"/>
    <s v=" 6.0 LPA"/>
    <n v="6"/>
    <n v="78"/>
    <n v="1.2676949080921192"/>
    <s v="High Cost"/>
    <x v="0"/>
    <s v="Compare More"/>
  </r>
  <r>
    <x v="21"/>
    <x v="1"/>
    <x v="1"/>
    <x v="3"/>
    <x v="6"/>
    <n v="170600"/>
    <s v=" 9.84 LPA"/>
    <n v="9.84"/>
    <n v="69"/>
    <n v="5.7678780773739744"/>
    <s v="Budget Friendly"/>
    <x v="0"/>
    <s v="Compare More"/>
  </r>
  <r>
    <x v="22"/>
    <x v="5"/>
    <x v="2"/>
    <x v="4"/>
    <x v="7"/>
    <n v="518000"/>
    <s v="4.14 LPA"/>
    <n v="4.1399999999999997"/>
    <n v="89"/>
    <n v="0.79922779922779907"/>
    <s v="High Cost"/>
    <x v="1"/>
    <s v="Compare More"/>
  </r>
  <r>
    <x v="23"/>
    <x v="1"/>
    <x v="3"/>
    <x v="3"/>
    <x v="0"/>
    <n v="1010000"/>
    <s v="5.57 LPA"/>
    <n v="5.57"/>
    <s v="49"/>
    <n v="0.55148514851485153"/>
    <s v="High Cost"/>
    <x v="1"/>
    <s v="Compare More"/>
  </r>
  <r>
    <x v="24"/>
    <x v="1"/>
    <x v="3"/>
    <x v="3"/>
    <x v="0"/>
    <n v="1390000"/>
    <s v="5.5 LPA"/>
    <n v="5.5"/>
    <n v="70"/>
    <n v="0.39568345323741005"/>
    <s v="High Cost"/>
    <x v="0"/>
    <s v="Compare More"/>
  </r>
  <r>
    <x v="25"/>
    <x v="2"/>
    <x v="2"/>
    <x v="4"/>
    <x v="8"/>
    <n v="550000"/>
    <s v=" 7.96 LPA"/>
    <n v="7.96"/>
    <n v="90"/>
    <n v="1.4472727272727273"/>
    <s v="High Cost"/>
    <x v="1"/>
    <s v="Compare More"/>
  </r>
  <r>
    <x v="26"/>
    <x v="4"/>
    <x v="2"/>
    <x v="3"/>
    <x v="9"/>
    <n v="890000"/>
    <s v="10.50 LPA"/>
    <n v="10.5"/>
    <n v="95"/>
    <n v="1.1797752808988764"/>
    <s v="High Cost"/>
    <x v="1"/>
    <s v="Compare More"/>
  </r>
  <r>
    <x v="27"/>
    <x v="6"/>
    <x v="1"/>
    <x v="3"/>
    <x v="0"/>
    <n v="912500"/>
    <s v="18.73 LPA"/>
    <n v="18.73"/>
    <n v="89"/>
    <n v="2.0526027397260274"/>
    <s v="High Cost"/>
    <x v="1"/>
    <s v="Compare More"/>
  </r>
  <r>
    <x v="28"/>
    <x v="7"/>
    <x v="3"/>
    <x v="3"/>
    <x v="10"/>
    <n v="710000"/>
    <s v="4.50 LPA"/>
    <n v="4.5"/>
    <n v="94"/>
    <n v="0.63380281690140849"/>
    <s v="High Cost"/>
    <x v="1"/>
    <s v="Compare More"/>
  </r>
  <r>
    <x v="29"/>
    <x v="1"/>
    <x v="1"/>
    <x v="3"/>
    <x v="0"/>
    <n v="917000"/>
    <s v=" 24.2 LPA"/>
    <n v="24.2"/>
    <n v="90"/>
    <n v="2.6390403489640133"/>
    <s v="High Cost"/>
    <x v="1"/>
    <s v="Compare More"/>
  </r>
  <r>
    <x v="30"/>
    <x v="8"/>
    <x v="4"/>
    <x v="6"/>
    <x v="11"/>
    <m/>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C8AE4-A9F2-405C-AE78-AA5A68782EDD}" name="Pivot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4" firstHeaderRow="1" firstDataRow="2" firstDataCol="1" rowPageCount="1" colPageCount="1"/>
  <pivotFields count="13">
    <pivotField dataField="1" showAll="0"/>
    <pivotField axis="axisRow" showAll="0">
      <items count="10">
        <item x="4"/>
        <item x="1"/>
        <item x="2"/>
        <item x="5"/>
        <item x="3"/>
        <item x="6"/>
        <item x="0"/>
        <item x="7"/>
        <item x="8"/>
        <item t="default"/>
      </items>
    </pivotField>
    <pivotField axis="axisCol" showAll="0">
      <items count="6">
        <item x="2"/>
        <item x="3"/>
        <item x="1"/>
        <item x="0"/>
        <item x="4"/>
        <item t="default"/>
      </items>
    </pivotField>
    <pivotField axis="axisPage" multipleItemSelectionAllowed="1" showAll="0">
      <items count="8">
        <item x="0"/>
        <item x="4"/>
        <item x="3"/>
        <item x="5"/>
        <item x="2"/>
        <item x="1"/>
        <item x="6"/>
        <item t="default"/>
      </items>
    </pivotField>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6">
    <i>
      <x/>
    </i>
    <i>
      <x v="1"/>
    </i>
    <i>
      <x v="2"/>
    </i>
    <i>
      <x v="3"/>
    </i>
    <i>
      <x v="4"/>
    </i>
    <i t="grand">
      <x/>
    </i>
  </colItems>
  <pageFields count="1">
    <pageField fld="3" hier="-1"/>
  </pageFields>
  <dataFields count="1">
    <dataField name="Count of COLLEGE NAME" fld="0" subtotal="count" baseField="0" baseItem="0"/>
  </dataFields>
  <chartFormats count="12">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12" format="9" series="1">
      <pivotArea type="data" outline="0" fieldPosition="0">
        <references count="2">
          <reference field="4294967294" count="1" selected="0">
            <x v="0"/>
          </reference>
          <reference field="2" count="1" selected="0">
            <x v="0"/>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 chart="12" format="11" series="1">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2">
          <reference field="4294967294" count="1" selected="0">
            <x v="0"/>
          </reference>
          <reference field="2" count="1" selected="0">
            <x v="3"/>
          </reference>
        </references>
      </pivotArea>
    </chartFormat>
    <chartFormat chart="12" format="1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2"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18FB79-7BEF-4328-AA4C-61D850C6FE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rowPageCount="1" colPageCount="1"/>
  <pivotFields count="13">
    <pivotField showAll="0"/>
    <pivotField axis="axisPage" multipleItemSelectionAllowed="1" showAll="0">
      <items count="10">
        <item x="4"/>
        <item x="1"/>
        <item x="2"/>
        <item x="5"/>
        <item x="3"/>
        <item x="6"/>
        <item x="0"/>
        <item x="7"/>
        <item x="8"/>
        <item t="default"/>
      </items>
    </pivotField>
    <pivotField axis="axisRow" showAll="0">
      <items count="6">
        <item x="2"/>
        <item x="3"/>
        <item x="1"/>
        <item x="0"/>
        <item x="4"/>
        <item t="default"/>
      </items>
    </pivotField>
    <pivotField showAll="0">
      <items count="8">
        <item x="0"/>
        <item x="4"/>
        <item x="3"/>
        <item x="5"/>
        <item x="2"/>
        <item x="1"/>
        <item x="6"/>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Items count="1">
    <i/>
  </colItems>
  <pageFields count="1">
    <pageField fld="1" hier="-1"/>
  </pageFields>
  <dataFields count="1">
    <dataField name="Average of PLACEMENT%" fld="8" subtotal="average" baseField="2"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A353B-BAD5-4977-BDF6-DDA7791BC2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35" firstHeaderRow="1" firstDataRow="1" firstDataCol="1" rowPageCount="2" colPageCount="1"/>
  <pivotFields count="13">
    <pivotField axis="axisRow" showAll="0">
      <items count="32">
        <item x="12"/>
        <item x="0"/>
        <item x="8"/>
        <item x="17"/>
        <item x="21"/>
        <item x="11"/>
        <item x="19"/>
        <item x="15"/>
        <item x="2"/>
        <item x="4"/>
        <item x="7"/>
        <item x="20"/>
        <item x="29"/>
        <item x="28"/>
        <item x="13"/>
        <item x="16"/>
        <item x="18"/>
        <item x="5"/>
        <item x="3"/>
        <item x="9"/>
        <item x="22"/>
        <item x="27"/>
        <item x="1"/>
        <item x="6"/>
        <item x="25"/>
        <item x="23"/>
        <item x="26"/>
        <item x="10"/>
        <item x="14"/>
        <item x="24"/>
        <item h="1" x="30"/>
        <item t="default"/>
      </items>
    </pivotField>
    <pivotField axis="axisPage" multipleItemSelectionAllowed="1" showAll="0">
      <items count="10">
        <item x="4"/>
        <item x="1"/>
        <item x="2"/>
        <item x="5"/>
        <item x="3"/>
        <item x="6"/>
        <item x="0"/>
        <item x="7"/>
        <item x="8"/>
        <item t="default"/>
      </items>
    </pivotField>
    <pivotField axis="axisPage" multipleItemSelectionAllowed="1" showAll="0">
      <items count="6">
        <item x="2"/>
        <item x="3"/>
        <item x="1"/>
        <item x="0"/>
        <item x="4"/>
        <item t="default"/>
      </items>
    </pivotField>
    <pivotField showAll="0">
      <items count="8">
        <item x="0"/>
        <item x="4"/>
        <item x="3"/>
        <item x="5"/>
        <item x="2"/>
        <item x="1"/>
        <item x="6"/>
        <item t="default"/>
      </items>
    </pivotField>
    <pivotField showAll="0"/>
    <pivotField showAll="0"/>
    <pivotField showAll="0"/>
    <pivotField showAll="0"/>
    <pivotField showAll="0"/>
    <pivotField dataField="1" showAll="0"/>
    <pivotField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2">
    <pageField fld="1" hier="-1"/>
    <pageField fld="2" hier="-1"/>
  </pageFields>
  <dataFields count="1">
    <dataField name="Average of PAYBACK RATIO" fld="9" subtotal="average" baseField="0" baseItem="0"/>
  </dataFields>
  <chartFormats count="2">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3295C-97CB-4505-B851-AD1D68E4AE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10" firstHeaderRow="1" firstDataRow="1" firstDataCol="1" rowPageCount="1" colPageCount="1"/>
  <pivotFields count="13">
    <pivotField showAll="0"/>
    <pivotField axis="axisPage" multipleItemSelectionAllowed="1" showAll="0">
      <items count="10">
        <item x="4"/>
        <item x="1"/>
        <item x="2"/>
        <item x="5"/>
        <item x="3"/>
        <item x="6"/>
        <item x="0"/>
        <item x="7"/>
        <item x="8"/>
        <item t="default"/>
      </items>
    </pivotField>
    <pivotField axis="axisRow" showAll="0">
      <items count="6">
        <item x="2"/>
        <item x="3"/>
        <item x="1"/>
        <item x="0"/>
        <item x="4"/>
        <item t="default"/>
      </items>
    </pivotField>
    <pivotField showAll="0">
      <items count="8">
        <item x="0"/>
        <item x="4"/>
        <item x="3"/>
        <item x="5"/>
        <item x="2"/>
        <item x="1"/>
        <item x="6"/>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1" hier="-1"/>
  </pageFields>
  <dataFields count="1">
    <dataField name="Average of TOTAL 3/4 YEAR COST" fld="5" subtotal="average" baseField="2" baseItem="0"/>
  </dataFields>
  <chartFormats count="2">
    <chartFormat chart="1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D7FA1-BFB3-4B7E-8251-DA947FECEA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B14" firstHeaderRow="1" firstDataRow="1" firstDataCol="1" rowPageCount="1" colPageCount="1"/>
  <pivotFields count="13">
    <pivotField showAll="0">
      <items count="32">
        <item x="12"/>
        <item x="0"/>
        <item x="8"/>
        <item x="17"/>
        <item x="21"/>
        <item x="11"/>
        <item x="19"/>
        <item x="15"/>
        <item x="2"/>
        <item x="4"/>
        <item x="7"/>
        <item x="20"/>
        <item x="29"/>
        <item x="28"/>
        <item x="13"/>
        <item x="16"/>
        <item x="18"/>
        <item x="5"/>
        <item x="3"/>
        <item x="9"/>
        <item x="22"/>
        <item x="27"/>
        <item x="1"/>
        <item x="6"/>
        <item x="25"/>
        <item x="23"/>
        <item x="26"/>
        <item x="10"/>
        <item x="14"/>
        <item x="24"/>
        <item x="30"/>
        <item t="default"/>
      </items>
    </pivotField>
    <pivotField axis="axisRow" showAll="0">
      <items count="10">
        <item x="4"/>
        <item x="1"/>
        <item x="2"/>
        <item x="5"/>
        <item x="3"/>
        <item x="6"/>
        <item x="0"/>
        <item x="7"/>
        <item x="8"/>
        <item t="default"/>
      </items>
    </pivotField>
    <pivotField axis="axisPage" multipleItemSelectionAllowed="1" showAll="0">
      <items count="6">
        <item x="2"/>
        <item x="3"/>
        <item x="1"/>
        <item x="0"/>
        <item x="4"/>
        <item t="default"/>
      </items>
    </pivotField>
    <pivotField showAll="0">
      <items count="8">
        <item x="0"/>
        <item x="4"/>
        <item x="3"/>
        <item x="5"/>
        <item x="2"/>
        <item x="1"/>
        <item x="6"/>
        <item t="default"/>
      </items>
    </pivotField>
    <pivotField showAll="0">
      <items count="13">
        <item x="4"/>
        <item x="10"/>
        <item x="1"/>
        <item x="7"/>
        <item x="5"/>
        <item x="2"/>
        <item x="3"/>
        <item x="8"/>
        <item x="6"/>
        <item x="9"/>
        <item x="0"/>
        <item x="11"/>
        <item t="default"/>
      </items>
    </pivotField>
    <pivotField showAll="0"/>
    <pivotField showAll="0"/>
    <pivotField dataField="1" showAll="0"/>
    <pivotField showAll="0"/>
    <pivotField showAll="0"/>
    <pivotField showAll="0"/>
    <pivotField showAll="0">
      <items count="4">
        <item x="1"/>
        <item x="0"/>
        <item x="2"/>
        <item t="default"/>
      </items>
    </pivotField>
    <pivotField showAll="0"/>
  </pivotFields>
  <rowFields count="1">
    <field x="1"/>
  </rowFields>
  <rowItems count="10">
    <i>
      <x/>
    </i>
    <i>
      <x v="1"/>
    </i>
    <i>
      <x v="2"/>
    </i>
    <i>
      <x v="3"/>
    </i>
    <i>
      <x v="4"/>
    </i>
    <i>
      <x v="5"/>
    </i>
    <i>
      <x v="6"/>
    </i>
    <i>
      <x v="7"/>
    </i>
    <i>
      <x v="8"/>
    </i>
    <i t="grand">
      <x/>
    </i>
  </rowItems>
  <colItems count="1">
    <i/>
  </colItems>
  <pageFields count="1">
    <pageField fld="2" hier="-1"/>
  </pageFields>
  <dataFields count="1">
    <dataField name="Average of HEADING PACKAGE" fld="7" subtotal="average" baseField="0" baseItem="0"/>
  </dataFields>
  <chartFormats count="2">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2E9A4F-E479-49A1-B685-9FFB7DF16B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36" firstHeaderRow="1" firstDataRow="2" firstDataCol="1" rowPageCount="1" colPageCount="1"/>
  <pivotFields count="13">
    <pivotField axis="axisRow" dataField="1" showAll="0">
      <items count="32">
        <item x="12"/>
        <item x="0"/>
        <item x="8"/>
        <item x="17"/>
        <item x="21"/>
        <item x="11"/>
        <item x="19"/>
        <item x="15"/>
        <item x="2"/>
        <item x="4"/>
        <item x="7"/>
        <item x="20"/>
        <item x="29"/>
        <item x="28"/>
        <item x="13"/>
        <item x="16"/>
        <item x="18"/>
        <item x="5"/>
        <item x="3"/>
        <item x="9"/>
        <item x="22"/>
        <item x="27"/>
        <item x="1"/>
        <item x="6"/>
        <item x="25"/>
        <item x="23"/>
        <item x="26"/>
        <item x="10"/>
        <item x="14"/>
        <item x="24"/>
        <item x="30"/>
        <item t="default"/>
      </items>
    </pivotField>
    <pivotField axis="axisPage" multipleItemSelectionAllowed="1" showAll="0">
      <items count="10">
        <item x="4"/>
        <item x="1"/>
        <item x="2"/>
        <item x="5"/>
        <item x="3"/>
        <item x="6"/>
        <item x="0"/>
        <item x="7"/>
        <item x="8"/>
        <item t="default"/>
      </items>
    </pivotField>
    <pivotField axis="axisCol" showAll="0">
      <items count="6">
        <item x="2"/>
        <item x="3"/>
        <item x="1"/>
        <item x="0"/>
        <item x="4"/>
        <item t="default"/>
      </items>
    </pivotField>
    <pivotField showAll="0">
      <items count="8">
        <item x="0"/>
        <item x="4"/>
        <item x="3"/>
        <item x="5"/>
        <item x="2"/>
        <item x="1"/>
        <item x="6"/>
        <item t="default"/>
      </items>
    </pivotField>
    <pivotField showAll="0"/>
    <pivotField showAll="0"/>
    <pivotField showAll="0"/>
    <pivotField showAll="0"/>
    <pivotField showAll="0"/>
    <pivotField showAll="0"/>
    <pivotField showAll="0"/>
    <pivotField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6">
    <i>
      <x/>
    </i>
    <i>
      <x v="1"/>
    </i>
    <i>
      <x v="2"/>
    </i>
    <i>
      <x v="3"/>
    </i>
    <i>
      <x v="4"/>
    </i>
    <i t="grand">
      <x/>
    </i>
  </colItems>
  <pageFields count="1">
    <pageField fld="1" hier="-1"/>
  </pageFields>
  <dataFields count="1">
    <dataField name="Count of COLLEGE NAME" fld="0" subtotal="count" baseField="0" baseItem="0"/>
  </dataFields>
  <chartFormats count="32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9" format="129" series="1">
      <pivotArea type="data" outline="0" fieldPosition="0">
        <references count="2">
          <reference field="4294967294" count="1" selected="0">
            <x v="0"/>
          </reference>
          <reference field="2" count="1" selected="0">
            <x v="0"/>
          </reference>
        </references>
      </pivotArea>
    </chartFormat>
    <chartFormat chart="9" format="130">
      <pivotArea type="data" outline="0" fieldPosition="0">
        <references count="3">
          <reference field="4294967294" count="1" selected="0">
            <x v="0"/>
          </reference>
          <reference field="0" count="1" selected="0">
            <x v="0"/>
          </reference>
          <reference field="2" count="1" selected="0">
            <x v="0"/>
          </reference>
        </references>
      </pivotArea>
    </chartFormat>
    <chartFormat chart="9" format="131">
      <pivotArea type="data" outline="0" fieldPosition="0">
        <references count="3">
          <reference field="4294967294" count="1" selected="0">
            <x v="0"/>
          </reference>
          <reference field="0" count="1" selected="0">
            <x v="1"/>
          </reference>
          <reference field="2" count="1" selected="0">
            <x v="0"/>
          </reference>
        </references>
      </pivotArea>
    </chartFormat>
    <chartFormat chart="9" format="132">
      <pivotArea type="data" outline="0" fieldPosition="0">
        <references count="3">
          <reference field="4294967294" count="1" selected="0">
            <x v="0"/>
          </reference>
          <reference field="0" count="1" selected="0">
            <x v="2"/>
          </reference>
          <reference field="2" count="1" selected="0">
            <x v="0"/>
          </reference>
        </references>
      </pivotArea>
    </chartFormat>
    <chartFormat chart="9" format="133">
      <pivotArea type="data" outline="0" fieldPosition="0">
        <references count="3">
          <reference field="4294967294" count="1" selected="0">
            <x v="0"/>
          </reference>
          <reference field="0" count="1" selected="0">
            <x v="3"/>
          </reference>
          <reference field="2" count="1" selected="0">
            <x v="0"/>
          </reference>
        </references>
      </pivotArea>
    </chartFormat>
    <chartFormat chart="9" format="134">
      <pivotArea type="data" outline="0" fieldPosition="0">
        <references count="3">
          <reference field="4294967294" count="1" selected="0">
            <x v="0"/>
          </reference>
          <reference field="0" count="1" selected="0">
            <x v="4"/>
          </reference>
          <reference field="2" count="1" selected="0">
            <x v="0"/>
          </reference>
        </references>
      </pivotArea>
    </chartFormat>
    <chartFormat chart="9" format="135">
      <pivotArea type="data" outline="0" fieldPosition="0">
        <references count="3">
          <reference field="4294967294" count="1" selected="0">
            <x v="0"/>
          </reference>
          <reference field="0" count="1" selected="0">
            <x v="5"/>
          </reference>
          <reference field="2" count="1" selected="0">
            <x v="0"/>
          </reference>
        </references>
      </pivotArea>
    </chartFormat>
    <chartFormat chart="9" format="136">
      <pivotArea type="data" outline="0" fieldPosition="0">
        <references count="3">
          <reference field="4294967294" count="1" selected="0">
            <x v="0"/>
          </reference>
          <reference field="0" count="1" selected="0">
            <x v="6"/>
          </reference>
          <reference field="2" count="1" selected="0">
            <x v="0"/>
          </reference>
        </references>
      </pivotArea>
    </chartFormat>
    <chartFormat chart="9" format="137">
      <pivotArea type="data" outline="0" fieldPosition="0">
        <references count="3">
          <reference field="4294967294" count="1" selected="0">
            <x v="0"/>
          </reference>
          <reference field="0" count="1" selected="0">
            <x v="7"/>
          </reference>
          <reference field="2" count="1" selected="0">
            <x v="0"/>
          </reference>
        </references>
      </pivotArea>
    </chartFormat>
    <chartFormat chart="9" format="138">
      <pivotArea type="data" outline="0" fieldPosition="0">
        <references count="3">
          <reference field="4294967294" count="1" selected="0">
            <x v="0"/>
          </reference>
          <reference field="0" count="1" selected="0">
            <x v="8"/>
          </reference>
          <reference field="2" count="1" selected="0">
            <x v="0"/>
          </reference>
        </references>
      </pivotArea>
    </chartFormat>
    <chartFormat chart="9" format="139">
      <pivotArea type="data" outline="0" fieldPosition="0">
        <references count="3">
          <reference field="4294967294" count="1" selected="0">
            <x v="0"/>
          </reference>
          <reference field="0" count="1" selected="0">
            <x v="9"/>
          </reference>
          <reference field="2" count="1" selected="0">
            <x v="0"/>
          </reference>
        </references>
      </pivotArea>
    </chartFormat>
    <chartFormat chart="9" format="140">
      <pivotArea type="data" outline="0" fieldPosition="0">
        <references count="3">
          <reference field="4294967294" count="1" selected="0">
            <x v="0"/>
          </reference>
          <reference field="0" count="1" selected="0">
            <x v="10"/>
          </reference>
          <reference field="2" count="1" selected="0">
            <x v="0"/>
          </reference>
        </references>
      </pivotArea>
    </chartFormat>
    <chartFormat chart="9" format="141">
      <pivotArea type="data" outline="0" fieldPosition="0">
        <references count="3">
          <reference field="4294967294" count="1" selected="0">
            <x v="0"/>
          </reference>
          <reference field="0" count="1" selected="0">
            <x v="11"/>
          </reference>
          <reference field="2" count="1" selected="0">
            <x v="0"/>
          </reference>
        </references>
      </pivotArea>
    </chartFormat>
    <chartFormat chart="9" format="142">
      <pivotArea type="data" outline="0" fieldPosition="0">
        <references count="3">
          <reference field="4294967294" count="1" selected="0">
            <x v="0"/>
          </reference>
          <reference field="0" count="1" selected="0">
            <x v="12"/>
          </reference>
          <reference field="2" count="1" selected="0">
            <x v="0"/>
          </reference>
        </references>
      </pivotArea>
    </chartFormat>
    <chartFormat chart="9" format="143">
      <pivotArea type="data" outline="0" fieldPosition="0">
        <references count="3">
          <reference field="4294967294" count="1" selected="0">
            <x v="0"/>
          </reference>
          <reference field="0" count="1" selected="0">
            <x v="13"/>
          </reference>
          <reference field="2" count="1" selected="0">
            <x v="0"/>
          </reference>
        </references>
      </pivotArea>
    </chartFormat>
    <chartFormat chart="9" format="144">
      <pivotArea type="data" outline="0" fieldPosition="0">
        <references count="3">
          <reference field="4294967294" count="1" selected="0">
            <x v="0"/>
          </reference>
          <reference field="0" count="1" selected="0">
            <x v="14"/>
          </reference>
          <reference field="2" count="1" selected="0">
            <x v="0"/>
          </reference>
        </references>
      </pivotArea>
    </chartFormat>
    <chartFormat chart="9" format="145">
      <pivotArea type="data" outline="0" fieldPosition="0">
        <references count="3">
          <reference field="4294967294" count="1" selected="0">
            <x v="0"/>
          </reference>
          <reference field="0" count="1" selected="0">
            <x v="15"/>
          </reference>
          <reference field="2" count="1" selected="0">
            <x v="0"/>
          </reference>
        </references>
      </pivotArea>
    </chartFormat>
    <chartFormat chart="9" format="146">
      <pivotArea type="data" outline="0" fieldPosition="0">
        <references count="3">
          <reference field="4294967294" count="1" selected="0">
            <x v="0"/>
          </reference>
          <reference field="0" count="1" selected="0">
            <x v="16"/>
          </reference>
          <reference field="2" count="1" selected="0">
            <x v="0"/>
          </reference>
        </references>
      </pivotArea>
    </chartFormat>
    <chartFormat chart="9" format="147">
      <pivotArea type="data" outline="0" fieldPosition="0">
        <references count="3">
          <reference field="4294967294" count="1" selected="0">
            <x v="0"/>
          </reference>
          <reference field="0" count="1" selected="0">
            <x v="17"/>
          </reference>
          <reference field="2" count="1" selected="0">
            <x v="0"/>
          </reference>
        </references>
      </pivotArea>
    </chartFormat>
    <chartFormat chart="9" format="148">
      <pivotArea type="data" outline="0" fieldPosition="0">
        <references count="3">
          <reference field="4294967294" count="1" selected="0">
            <x v="0"/>
          </reference>
          <reference field="0" count="1" selected="0">
            <x v="18"/>
          </reference>
          <reference field="2" count="1" selected="0">
            <x v="0"/>
          </reference>
        </references>
      </pivotArea>
    </chartFormat>
    <chartFormat chart="9" format="149">
      <pivotArea type="data" outline="0" fieldPosition="0">
        <references count="3">
          <reference field="4294967294" count="1" selected="0">
            <x v="0"/>
          </reference>
          <reference field="0" count="1" selected="0">
            <x v="19"/>
          </reference>
          <reference field="2" count="1" selected="0">
            <x v="0"/>
          </reference>
        </references>
      </pivotArea>
    </chartFormat>
    <chartFormat chart="9" format="150">
      <pivotArea type="data" outline="0" fieldPosition="0">
        <references count="3">
          <reference field="4294967294" count="1" selected="0">
            <x v="0"/>
          </reference>
          <reference field="0" count="1" selected="0">
            <x v="20"/>
          </reference>
          <reference field="2" count="1" selected="0">
            <x v="0"/>
          </reference>
        </references>
      </pivotArea>
    </chartFormat>
    <chartFormat chart="9" format="151">
      <pivotArea type="data" outline="0" fieldPosition="0">
        <references count="3">
          <reference field="4294967294" count="1" selected="0">
            <x v="0"/>
          </reference>
          <reference field="0" count="1" selected="0">
            <x v="21"/>
          </reference>
          <reference field="2" count="1" selected="0">
            <x v="0"/>
          </reference>
        </references>
      </pivotArea>
    </chartFormat>
    <chartFormat chart="9" format="152">
      <pivotArea type="data" outline="0" fieldPosition="0">
        <references count="3">
          <reference field="4294967294" count="1" selected="0">
            <x v="0"/>
          </reference>
          <reference field="0" count="1" selected="0">
            <x v="22"/>
          </reference>
          <reference field="2" count="1" selected="0">
            <x v="0"/>
          </reference>
        </references>
      </pivotArea>
    </chartFormat>
    <chartFormat chart="9" format="153">
      <pivotArea type="data" outline="0" fieldPosition="0">
        <references count="3">
          <reference field="4294967294" count="1" selected="0">
            <x v="0"/>
          </reference>
          <reference field="0" count="1" selected="0">
            <x v="23"/>
          </reference>
          <reference field="2" count="1" selected="0">
            <x v="0"/>
          </reference>
        </references>
      </pivotArea>
    </chartFormat>
    <chartFormat chart="9" format="154">
      <pivotArea type="data" outline="0" fieldPosition="0">
        <references count="3">
          <reference field="4294967294" count="1" selected="0">
            <x v="0"/>
          </reference>
          <reference field="0" count="1" selected="0">
            <x v="24"/>
          </reference>
          <reference field="2" count="1" selected="0">
            <x v="0"/>
          </reference>
        </references>
      </pivotArea>
    </chartFormat>
    <chartFormat chart="9" format="155">
      <pivotArea type="data" outline="0" fieldPosition="0">
        <references count="3">
          <reference field="4294967294" count="1" selected="0">
            <x v="0"/>
          </reference>
          <reference field="0" count="1" selected="0">
            <x v="25"/>
          </reference>
          <reference field="2" count="1" selected="0">
            <x v="0"/>
          </reference>
        </references>
      </pivotArea>
    </chartFormat>
    <chartFormat chart="9" format="156">
      <pivotArea type="data" outline="0" fieldPosition="0">
        <references count="3">
          <reference field="4294967294" count="1" selected="0">
            <x v="0"/>
          </reference>
          <reference field="0" count="1" selected="0">
            <x v="26"/>
          </reference>
          <reference field="2" count="1" selected="0">
            <x v="0"/>
          </reference>
        </references>
      </pivotArea>
    </chartFormat>
    <chartFormat chart="9" format="157">
      <pivotArea type="data" outline="0" fieldPosition="0">
        <references count="3">
          <reference field="4294967294" count="1" selected="0">
            <x v="0"/>
          </reference>
          <reference field="0" count="1" selected="0">
            <x v="27"/>
          </reference>
          <reference field="2" count="1" selected="0">
            <x v="0"/>
          </reference>
        </references>
      </pivotArea>
    </chartFormat>
    <chartFormat chart="9" format="158">
      <pivotArea type="data" outline="0" fieldPosition="0">
        <references count="3">
          <reference field="4294967294" count="1" selected="0">
            <x v="0"/>
          </reference>
          <reference field="0" count="1" selected="0">
            <x v="28"/>
          </reference>
          <reference field="2" count="1" selected="0">
            <x v="0"/>
          </reference>
        </references>
      </pivotArea>
    </chartFormat>
    <chartFormat chart="9" format="159">
      <pivotArea type="data" outline="0" fieldPosition="0">
        <references count="3">
          <reference field="4294967294" count="1" selected="0">
            <x v="0"/>
          </reference>
          <reference field="0" count="1" selected="0">
            <x v="29"/>
          </reference>
          <reference field="2" count="1" selected="0">
            <x v="0"/>
          </reference>
        </references>
      </pivotArea>
    </chartFormat>
    <chartFormat chart="9" format="160" series="1">
      <pivotArea type="data" outline="0" fieldPosition="0">
        <references count="2">
          <reference field="4294967294" count="1" selected="0">
            <x v="0"/>
          </reference>
          <reference field="2" count="1" selected="0">
            <x v="1"/>
          </reference>
        </references>
      </pivotArea>
    </chartFormat>
    <chartFormat chart="9" format="161">
      <pivotArea type="data" outline="0" fieldPosition="0">
        <references count="3">
          <reference field="4294967294" count="1" selected="0">
            <x v="0"/>
          </reference>
          <reference field="0" count="1" selected="0">
            <x v="0"/>
          </reference>
          <reference field="2" count="1" selected="0">
            <x v="1"/>
          </reference>
        </references>
      </pivotArea>
    </chartFormat>
    <chartFormat chart="9" format="162">
      <pivotArea type="data" outline="0" fieldPosition="0">
        <references count="3">
          <reference field="4294967294" count="1" selected="0">
            <x v="0"/>
          </reference>
          <reference field="0" count="1" selected="0">
            <x v="1"/>
          </reference>
          <reference field="2" count="1" selected="0">
            <x v="1"/>
          </reference>
        </references>
      </pivotArea>
    </chartFormat>
    <chartFormat chart="9" format="163">
      <pivotArea type="data" outline="0" fieldPosition="0">
        <references count="3">
          <reference field="4294967294" count="1" selected="0">
            <x v="0"/>
          </reference>
          <reference field="0" count="1" selected="0">
            <x v="2"/>
          </reference>
          <reference field="2" count="1" selected="0">
            <x v="1"/>
          </reference>
        </references>
      </pivotArea>
    </chartFormat>
    <chartFormat chart="9" format="164">
      <pivotArea type="data" outline="0" fieldPosition="0">
        <references count="3">
          <reference field="4294967294" count="1" selected="0">
            <x v="0"/>
          </reference>
          <reference field="0" count="1" selected="0">
            <x v="3"/>
          </reference>
          <reference field="2" count="1" selected="0">
            <x v="1"/>
          </reference>
        </references>
      </pivotArea>
    </chartFormat>
    <chartFormat chart="9" format="165">
      <pivotArea type="data" outline="0" fieldPosition="0">
        <references count="3">
          <reference field="4294967294" count="1" selected="0">
            <x v="0"/>
          </reference>
          <reference field="0" count="1" selected="0">
            <x v="4"/>
          </reference>
          <reference field="2" count="1" selected="0">
            <x v="1"/>
          </reference>
        </references>
      </pivotArea>
    </chartFormat>
    <chartFormat chart="9" format="166">
      <pivotArea type="data" outline="0" fieldPosition="0">
        <references count="3">
          <reference field="4294967294" count="1" selected="0">
            <x v="0"/>
          </reference>
          <reference field="0" count="1" selected="0">
            <x v="5"/>
          </reference>
          <reference field="2" count="1" selected="0">
            <x v="1"/>
          </reference>
        </references>
      </pivotArea>
    </chartFormat>
    <chartFormat chart="9" format="167">
      <pivotArea type="data" outline="0" fieldPosition="0">
        <references count="3">
          <reference field="4294967294" count="1" selected="0">
            <x v="0"/>
          </reference>
          <reference field="0" count="1" selected="0">
            <x v="6"/>
          </reference>
          <reference field="2" count="1" selected="0">
            <x v="1"/>
          </reference>
        </references>
      </pivotArea>
    </chartFormat>
    <chartFormat chart="9" format="168">
      <pivotArea type="data" outline="0" fieldPosition="0">
        <references count="3">
          <reference field="4294967294" count="1" selected="0">
            <x v="0"/>
          </reference>
          <reference field="0" count="1" selected="0">
            <x v="7"/>
          </reference>
          <reference field="2" count="1" selected="0">
            <x v="1"/>
          </reference>
        </references>
      </pivotArea>
    </chartFormat>
    <chartFormat chart="9" format="169">
      <pivotArea type="data" outline="0" fieldPosition="0">
        <references count="3">
          <reference field="4294967294" count="1" selected="0">
            <x v="0"/>
          </reference>
          <reference field="0" count="1" selected="0">
            <x v="8"/>
          </reference>
          <reference field="2" count="1" selected="0">
            <x v="1"/>
          </reference>
        </references>
      </pivotArea>
    </chartFormat>
    <chartFormat chart="9" format="170">
      <pivotArea type="data" outline="0" fieldPosition="0">
        <references count="3">
          <reference field="4294967294" count="1" selected="0">
            <x v="0"/>
          </reference>
          <reference field="0" count="1" selected="0">
            <x v="9"/>
          </reference>
          <reference field="2" count="1" selected="0">
            <x v="1"/>
          </reference>
        </references>
      </pivotArea>
    </chartFormat>
    <chartFormat chart="9" format="171">
      <pivotArea type="data" outline="0" fieldPosition="0">
        <references count="3">
          <reference field="4294967294" count="1" selected="0">
            <x v="0"/>
          </reference>
          <reference field="0" count="1" selected="0">
            <x v="10"/>
          </reference>
          <reference field="2" count="1" selected="0">
            <x v="1"/>
          </reference>
        </references>
      </pivotArea>
    </chartFormat>
    <chartFormat chart="9" format="172">
      <pivotArea type="data" outline="0" fieldPosition="0">
        <references count="3">
          <reference field="4294967294" count="1" selected="0">
            <x v="0"/>
          </reference>
          <reference field="0" count="1" selected="0">
            <x v="11"/>
          </reference>
          <reference field="2" count="1" selected="0">
            <x v="1"/>
          </reference>
        </references>
      </pivotArea>
    </chartFormat>
    <chartFormat chart="9" format="173">
      <pivotArea type="data" outline="0" fieldPosition="0">
        <references count="3">
          <reference field="4294967294" count="1" selected="0">
            <x v="0"/>
          </reference>
          <reference field="0" count="1" selected="0">
            <x v="12"/>
          </reference>
          <reference field="2" count="1" selected="0">
            <x v="1"/>
          </reference>
        </references>
      </pivotArea>
    </chartFormat>
    <chartFormat chart="9" format="174">
      <pivotArea type="data" outline="0" fieldPosition="0">
        <references count="3">
          <reference field="4294967294" count="1" selected="0">
            <x v="0"/>
          </reference>
          <reference field="0" count="1" selected="0">
            <x v="13"/>
          </reference>
          <reference field="2" count="1" selected="0">
            <x v="1"/>
          </reference>
        </references>
      </pivotArea>
    </chartFormat>
    <chartFormat chart="9" format="175">
      <pivotArea type="data" outline="0" fieldPosition="0">
        <references count="3">
          <reference field="4294967294" count="1" selected="0">
            <x v="0"/>
          </reference>
          <reference field="0" count="1" selected="0">
            <x v="14"/>
          </reference>
          <reference field="2" count="1" selected="0">
            <x v="1"/>
          </reference>
        </references>
      </pivotArea>
    </chartFormat>
    <chartFormat chart="9" format="176">
      <pivotArea type="data" outline="0" fieldPosition="0">
        <references count="3">
          <reference field="4294967294" count="1" selected="0">
            <x v="0"/>
          </reference>
          <reference field="0" count="1" selected="0">
            <x v="15"/>
          </reference>
          <reference field="2" count="1" selected="0">
            <x v="1"/>
          </reference>
        </references>
      </pivotArea>
    </chartFormat>
    <chartFormat chart="9" format="177">
      <pivotArea type="data" outline="0" fieldPosition="0">
        <references count="3">
          <reference field="4294967294" count="1" selected="0">
            <x v="0"/>
          </reference>
          <reference field="0" count="1" selected="0">
            <x v="16"/>
          </reference>
          <reference field="2" count="1" selected="0">
            <x v="1"/>
          </reference>
        </references>
      </pivotArea>
    </chartFormat>
    <chartFormat chart="9" format="178">
      <pivotArea type="data" outline="0" fieldPosition="0">
        <references count="3">
          <reference field="4294967294" count="1" selected="0">
            <x v="0"/>
          </reference>
          <reference field="0" count="1" selected="0">
            <x v="17"/>
          </reference>
          <reference field="2" count="1" selected="0">
            <x v="1"/>
          </reference>
        </references>
      </pivotArea>
    </chartFormat>
    <chartFormat chart="9" format="179">
      <pivotArea type="data" outline="0" fieldPosition="0">
        <references count="3">
          <reference field="4294967294" count="1" selected="0">
            <x v="0"/>
          </reference>
          <reference field="0" count="1" selected="0">
            <x v="18"/>
          </reference>
          <reference field="2" count="1" selected="0">
            <x v="1"/>
          </reference>
        </references>
      </pivotArea>
    </chartFormat>
    <chartFormat chart="9" format="180">
      <pivotArea type="data" outline="0" fieldPosition="0">
        <references count="3">
          <reference field="4294967294" count="1" selected="0">
            <x v="0"/>
          </reference>
          <reference field="0" count="1" selected="0">
            <x v="19"/>
          </reference>
          <reference field="2" count="1" selected="0">
            <x v="1"/>
          </reference>
        </references>
      </pivotArea>
    </chartFormat>
    <chartFormat chart="9" format="181">
      <pivotArea type="data" outline="0" fieldPosition="0">
        <references count="3">
          <reference field="4294967294" count="1" selected="0">
            <x v="0"/>
          </reference>
          <reference field="0" count="1" selected="0">
            <x v="20"/>
          </reference>
          <reference field="2" count="1" selected="0">
            <x v="1"/>
          </reference>
        </references>
      </pivotArea>
    </chartFormat>
    <chartFormat chart="9" format="182">
      <pivotArea type="data" outline="0" fieldPosition="0">
        <references count="3">
          <reference field="4294967294" count="1" selected="0">
            <x v="0"/>
          </reference>
          <reference field="0" count="1" selected="0">
            <x v="21"/>
          </reference>
          <reference field="2" count="1" selected="0">
            <x v="1"/>
          </reference>
        </references>
      </pivotArea>
    </chartFormat>
    <chartFormat chart="9" format="183">
      <pivotArea type="data" outline="0" fieldPosition="0">
        <references count="3">
          <reference field="4294967294" count="1" selected="0">
            <x v="0"/>
          </reference>
          <reference field="0" count="1" selected="0">
            <x v="22"/>
          </reference>
          <reference field="2" count="1" selected="0">
            <x v="1"/>
          </reference>
        </references>
      </pivotArea>
    </chartFormat>
    <chartFormat chart="9" format="184">
      <pivotArea type="data" outline="0" fieldPosition="0">
        <references count="3">
          <reference field="4294967294" count="1" selected="0">
            <x v="0"/>
          </reference>
          <reference field="0" count="1" selected="0">
            <x v="23"/>
          </reference>
          <reference field="2" count="1" selected="0">
            <x v="1"/>
          </reference>
        </references>
      </pivotArea>
    </chartFormat>
    <chartFormat chart="9" format="185">
      <pivotArea type="data" outline="0" fieldPosition="0">
        <references count="3">
          <reference field="4294967294" count="1" selected="0">
            <x v="0"/>
          </reference>
          <reference field="0" count="1" selected="0">
            <x v="24"/>
          </reference>
          <reference field="2" count="1" selected="0">
            <x v="1"/>
          </reference>
        </references>
      </pivotArea>
    </chartFormat>
    <chartFormat chart="9" format="186">
      <pivotArea type="data" outline="0" fieldPosition="0">
        <references count="3">
          <reference field="4294967294" count="1" selected="0">
            <x v="0"/>
          </reference>
          <reference field="0" count="1" selected="0">
            <x v="25"/>
          </reference>
          <reference field="2" count="1" selected="0">
            <x v="1"/>
          </reference>
        </references>
      </pivotArea>
    </chartFormat>
    <chartFormat chart="9" format="187">
      <pivotArea type="data" outline="0" fieldPosition="0">
        <references count="3">
          <reference field="4294967294" count="1" selected="0">
            <x v="0"/>
          </reference>
          <reference field="0" count="1" selected="0">
            <x v="26"/>
          </reference>
          <reference field="2" count="1" selected="0">
            <x v="1"/>
          </reference>
        </references>
      </pivotArea>
    </chartFormat>
    <chartFormat chart="9" format="188">
      <pivotArea type="data" outline="0" fieldPosition="0">
        <references count="3">
          <reference field="4294967294" count="1" selected="0">
            <x v="0"/>
          </reference>
          <reference field="0" count="1" selected="0">
            <x v="27"/>
          </reference>
          <reference field="2" count="1" selected="0">
            <x v="1"/>
          </reference>
        </references>
      </pivotArea>
    </chartFormat>
    <chartFormat chart="9" format="189">
      <pivotArea type="data" outline="0" fieldPosition="0">
        <references count="3">
          <reference field="4294967294" count="1" selected="0">
            <x v="0"/>
          </reference>
          <reference field="0" count="1" selected="0">
            <x v="28"/>
          </reference>
          <reference field="2" count="1" selected="0">
            <x v="1"/>
          </reference>
        </references>
      </pivotArea>
    </chartFormat>
    <chartFormat chart="9" format="190">
      <pivotArea type="data" outline="0" fieldPosition="0">
        <references count="3">
          <reference field="4294967294" count="1" selected="0">
            <x v="0"/>
          </reference>
          <reference field="0" count="1" selected="0">
            <x v="29"/>
          </reference>
          <reference field="2" count="1" selected="0">
            <x v="1"/>
          </reference>
        </references>
      </pivotArea>
    </chartFormat>
    <chartFormat chart="9" format="191" series="1">
      <pivotArea type="data" outline="0" fieldPosition="0">
        <references count="2">
          <reference field="4294967294" count="1" selected="0">
            <x v="0"/>
          </reference>
          <reference field="2" count="1" selected="0">
            <x v="2"/>
          </reference>
        </references>
      </pivotArea>
    </chartFormat>
    <chartFormat chart="9" format="192">
      <pivotArea type="data" outline="0" fieldPosition="0">
        <references count="3">
          <reference field="4294967294" count="1" selected="0">
            <x v="0"/>
          </reference>
          <reference field="0" count="1" selected="0">
            <x v="0"/>
          </reference>
          <reference field="2" count="1" selected="0">
            <x v="2"/>
          </reference>
        </references>
      </pivotArea>
    </chartFormat>
    <chartFormat chart="9" format="193">
      <pivotArea type="data" outline="0" fieldPosition="0">
        <references count="3">
          <reference field="4294967294" count="1" selected="0">
            <x v="0"/>
          </reference>
          <reference field="0" count="1" selected="0">
            <x v="1"/>
          </reference>
          <reference field="2" count="1" selected="0">
            <x v="2"/>
          </reference>
        </references>
      </pivotArea>
    </chartFormat>
    <chartFormat chart="9" format="194">
      <pivotArea type="data" outline="0" fieldPosition="0">
        <references count="3">
          <reference field="4294967294" count="1" selected="0">
            <x v="0"/>
          </reference>
          <reference field="0" count="1" selected="0">
            <x v="2"/>
          </reference>
          <reference field="2" count="1" selected="0">
            <x v="2"/>
          </reference>
        </references>
      </pivotArea>
    </chartFormat>
    <chartFormat chart="9" format="195">
      <pivotArea type="data" outline="0" fieldPosition="0">
        <references count="3">
          <reference field="4294967294" count="1" selected="0">
            <x v="0"/>
          </reference>
          <reference field="0" count="1" selected="0">
            <x v="3"/>
          </reference>
          <reference field="2" count="1" selected="0">
            <x v="2"/>
          </reference>
        </references>
      </pivotArea>
    </chartFormat>
    <chartFormat chart="9" format="196">
      <pivotArea type="data" outline="0" fieldPosition="0">
        <references count="3">
          <reference field="4294967294" count="1" selected="0">
            <x v="0"/>
          </reference>
          <reference field="0" count="1" selected="0">
            <x v="4"/>
          </reference>
          <reference field="2" count="1" selected="0">
            <x v="2"/>
          </reference>
        </references>
      </pivotArea>
    </chartFormat>
    <chartFormat chart="9" format="197">
      <pivotArea type="data" outline="0" fieldPosition="0">
        <references count="3">
          <reference field="4294967294" count="1" selected="0">
            <x v="0"/>
          </reference>
          <reference field="0" count="1" selected="0">
            <x v="5"/>
          </reference>
          <reference field="2" count="1" selected="0">
            <x v="2"/>
          </reference>
        </references>
      </pivotArea>
    </chartFormat>
    <chartFormat chart="9" format="198">
      <pivotArea type="data" outline="0" fieldPosition="0">
        <references count="3">
          <reference field="4294967294" count="1" selected="0">
            <x v="0"/>
          </reference>
          <reference field="0" count="1" selected="0">
            <x v="6"/>
          </reference>
          <reference field="2" count="1" selected="0">
            <x v="2"/>
          </reference>
        </references>
      </pivotArea>
    </chartFormat>
    <chartFormat chart="9" format="199">
      <pivotArea type="data" outline="0" fieldPosition="0">
        <references count="3">
          <reference field="4294967294" count="1" selected="0">
            <x v="0"/>
          </reference>
          <reference field="0" count="1" selected="0">
            <x v="7"/>
          </reference>
          <reference field="2" count="1" selected="0">
            <x v="2"/>
          </reference>
        </references>
      </pivotArea>
    </chartFormat>
    <chartFormat chart="9" format="200">
      <pivotArea type="data" outline="0" fieldPosition="0">
        <references count="3">
          <reference field="4294967294" count="1" selected="0">
            <x v="0"/>
          </reference>
          <reference field="0" count="1" selected="0">
            <x v="8"/>
          </reference>
          <reference field="2" count="1" selected="0">
            <x v="2"/>
          </reference>
        </references>
      </pivotArea>
    </chartFormat>
    <chartFormat chart="9" format="201">
      <pivotArea type="data" outline="0" fieldPosition="0">
        <references count="3">
          <reference field="4294967294" count="1" selected="0">
            <x v="0"/>
          </reference>
          <reference field="0" count="1" selected="0">
            <x v="9"/>
          </reference>
          <reference field="2" count="1" selected="0">
            <x v="2"/>
          </reference>
        </references>
      </pivotArea>
    </chartFormat>
    <chartFormat chart="9" format="202">
      <pivotArea type="data" outline="0" fieldPosition="0">
        <references count="3">
          <reference field="4294967294" count="1" selected="0">
            <x v="0"/>
          </reference>
          <reference field="0" count="1" selected="0">
            <x v="10"/>
          </reference>
          <reference field="2" count="1" selected="0">
            <x v="2"/>
          </reference>
        </references>
      </pivotArea>
    </chartFormat>
    <chartFormat chart="9" format="203">
      <pivotArea type="data" outline="0" fieldPosition="0">
        <references count="3">
          <reference field="4294967294" count="1" selected="0">
            <x v="0"/>
          </reference>
          <reference field="0" count="1" selected="0">
            <x v="11"/>
          </reference>
          <reference field="2" count="1" selected="0">
            <x v="2"/>
          </reference>
        </references>
      </pivotArea>
    </chartFormat>
    <chartFormat chart="9" format="204">
      <pivotArea type="data" outline="0" fieldPosition="0">
        <references count="3">
          <reference field="4294967294" count="1" selected="0">
            <x v="0"/>
          </reference>
          <reference field="0" count="1" selected="0">
            <x v="12"/>
          </reference>
          <reference field="2" count="1" selected="0">
            <x v="2"/>
          </reference>
        </references>
      </pivotArea>
    </chartFormat>
    <chartFormat chart="9" format="205">
      <pivotArea type="data" outline="0" fieldPosition="0">
        <references count="3">
          <reference field="4294967294" count="1" selected="0">
            <x v="0"/>
          </reference>
          <reference field="0" count="1" selected="0">
            <x v="13"/>
          </reference>
          <reference field="2" count="1" selected="0">
            <x v="2"/>
          </reference>
        </references>
      </pivotArea>
    </chartFormat>
    <chartFormat chart="9" format="206">
      <pivotArea type="data" outline="0" fieldPosition="0">
        <references count="3">
          <reference field="4294967294" count="1" selected="0">
            <x v="0"/>
          </reference>
          <reference field="0" count="1" selected="0">
            <x v="14"/>
          </reference>
          <reference field="2" count="1" selected="0">
            <x v="2"/>
          </reference>
        </references>
      </pivotArea>
    </chartFormat>
    <chartFormat chart="9" format="207">
      <pivotArea type="data" outline="0" fieldPosition="0">
        <references count="3">
          <reference field="4294967294" count="1" selected="0">
            <x v="0"/>
          </reference>
          <reference field="0" count="1" selected="0">
            <x v="15"/>
          </reference>
          <reference field="2" count="1" selected="0">
            <x v="2"/>
          </reference>
        </references>
      </pivotArea>
    </chartFormat>
    <chartFormat chart="9" format="208">
      <pivotArea type="data" outline="0" fieldPosition="0">
        <references count="3">
          <reference field="4294967294" count="1" selected="0">
            <x v="0"/>
          </reference>
          <reference field="0" count="1" selected="0">
            <x v="16"/>
          </reference>
          <reference field="2" count="1" selected="0">
            <x v="2"/>
          </reference>
        </references>
      </pivotArea>
    </chartFormat>
    <chartFormat chart="9" format="209">
      <pivotArea type="data" outline="0" fieldPosition="0">
        <references count="3">
          <reference field="4294967294" count="1" selected="0">
            <x v="0"/>
          </reference>
          <reference field="0" count="1" selected="0">
            <x v="17"/>
          </reference>
          <reference field="2" count="1" selected="0">
            <x v="2"/>
          </reference>
        </references>
      </pivotArea>
    </chartFormat>
    <chartFormat chart="9" format="210">
      <pivotArea type="data" outline="0" fieldPosition="0">
        <references count="3">
          <reference field="4294967294" count="1" selected="0">
            <x v="0"/>
          </reference>
          <reference field="0" count="1" selected="0">
            <x v="18"/>
          </reference>
          <reference field="2" count="1" selected="0">
            <x v="2"/>
          </reference>
        </references>
      </pivotArea>
    </chartFormat>
    <chartFormat chart="9" format="211">
      <pivotArea type="data" outline="0" fieldPosition="0">
        <references count="3">
          <reference field="4294967294" count="1" selected="0">
            <x v="0"/>
          </reference>
          <reference field="0" count="1" selected="0">
            <x v="19"/>
          </reference>
          <reference field="2" count="1" selected="0">
            <x v="2"/>
          </reference>
        </references>
      </pivotArea>
    </chartFormat>
    <chartFormat chart="9" format="212">
      <pivotArea type="data" outline="0" fieldPosition="0">
        <references count="3">
          <reference field="4294967294" count="1" selected="0">
            <x v="0"/>
          </reference>
          <reference field="0" count="1" selected="0">
            <x v="20"/>
          </reference>
          <reference field="2" count="1" selected="0">
            <x v="2"/>
          </reference>
        </references>
      </pivotArea>
    </chartFormat>
    <chartFormat chart="9" format="213">
      <pivotArea type="data" outline="0" fieldPosition="0">
        <references count="3">
          <reference field="4294967294" count="1" selected="0">
            <x v="0"/>
          </reference>
          <reference field="0" count="1" selected="0">
            <x v="21"/>
          </reference>
          <reference field="2" count="1" selected="0">
            <x v="2"/>
          </reference>
        </references>
      </pivotArea>
    </chartFormat>
    <chartFormat chart="9" format="214">
      <pivotArea type="data" outline="0" fieldPosition="0">
        <references count="3">
          <reference field="4294967294" count="1" selected="0">
            <x v="0"/>
          </reference>
          <reference field="0" count="1" selected="0">
            <x v="22"/>
          </reference>
          <reference field="2" count="1" selected="0">
            <x v="2"/>
          </reference>
        </references>
      </pivotArea>
    </chartFormat>
    <chartFormat chart="9" format="215">
      <pivotArea type="data" outline="0" fieldPosition="0">
        <references count="3">
          <reference field="4294967294" count="1" selected="0">
            <x v="0"/>
          </reference>
          <reference field="0" count="1" selected="0">
            <x v="23"/>
          </reference>
          <reference field="2" count="1" selected="0">
            <x v="2"/>
          </reference>
        </references>
      </pivotArea>
    </chartFormat>
    <chartFormat chart="9" format="216">
      <pivotArea type="data" outline="0" fieldPosition="0">
        <references count="3">
          <reference field="4294967294" count="1" selected="0">
            <x v="0"/>
          </reference>
          <reference field="0" count="1" selected="0">
            <x v="24"/>
          </reference>
          <reference field="2" count="1" selected="0">
            <x v="2"/>
          </reference>
        </references>
      </pivotArea>
    </chartFormat>
    <chartFormat chart="9" format="217">
      <pivotArea type="data" outline="0" fieldPosition="0">
        <references count="3">
          <reference field="4294967294" count="1" selected="0">
            <x v="0"/>
          </reference>
          <reference field="0" count="1" selected="0">
            <x v="25"/>
          </reference>
          <reference field="2" count="1" selected="0">
            <x v="2"/>
          </reference>
        </references>
      </pivotArea>
    </chartFormat>
    <chartFormat chart="9" format="218">
      <pivotArea type="data" outline="0" fieldPosition="0">
        <references count="3">
          <reference field="4294967294" count="1" selected="0">
            <x v="0"/>
          </reference>
          <reference field="0" count="1" selected="0">
            <x v="26"/>
          </reference>
          <reference field="2" count="1" selected="0">
            <x v="2"/>
          </reference>
        </references>
      </pivotArea>
    </chartFormat>
    <chartFormat chart="9" format="219">
      <pivotArea type="data" outline="0" fieldPosition="0">
        <references count="3">
          <reference field="4294967294" count="1" selected="0">
            <x v="0"/>
          </reference>
          <reference field="0" count="1" selected="0">
            <x v="27"/>
          </reference>
          <reference field="2" count="1" selected="0">
            <x v="2"/>
          </reference>
        </references>
      </pivotArea>
    </chartFormat>
    <chartFormat chart="9" format="220">
      <pivotArea type="data" outline="0" fieldPosition="0">
        <references count="3">
          <reference field="4294967294" count="1" selected="0">
            <x v="0"/>
          </reference>
          <reference field="0" count="1" selected="0">
            <x v="28"/>
          </reference>
          <reference field="2" count="1" selected="0">
            <x v="2"/>
          </reference>
        </references>
      </pivotArea>
    </chartFormat>
    <chartFormat chart="9" format="221">
      <pivotArea type="data" outline="0" fieldPosition="0">
        <references count="3">
          <reference field="4294967294" count="1" selected="0">
            <x v="0"/>
          </reference>
          <reference field="0" count="1" selected="0">
            <x v="29"/>
          </reference>
          <reference field="2" count="1" selected="0">
            <x v="2"/>
          </reference>
        </references>
      </pivotArea>
    </chartFormat>
    <chartFormat chart="9" format="222" series="1">
      <pivotArea type="data" outline="0" fieldPosition="0">
        <references count="2">
          <reference field="4294967294" count="1" selected="0">
            <x v="0"/>
          </reference>
          <reference field="2" count="1" selected="0">
            <x v="3"/>
          </reference>
        </references>
      </pivotArea>
    </chartFormat>
    <chartFormat chart="9" format="223">
      <pivotArea type="data" outline="0" fieldPosition="0">
        <references count="3">
          <reference field="4294967294" count="1" selected="0">
            <x v="0"/>
          </reference>
          <reference field="0" count="1" selected="0">
            <x v="0"/>
          </reference>
          <reference field="2" count="1" selected="0">
            <x v="3"/>
          </reference>
        </references>
      </pivotArea>
    </chartFormat>
    <chartFormat chart="9" format="224">
      <pivotArea type="data" outline="0" fieldPosition="0">
        <references count="3">
          <reference field="4294967294" count="1" selected="0">
            <x v="0"/>
          </reference>
          <reference field="0" count="1" selected="0">
            <x v="1"/>
          </reference>
          <reference field="2" count="1" selected="0">
            <x v="3"/>
          </reference>
        </references>
      </pivotArea>
    </chartFormat>
    <chartFormat chart="9" format="225">
      <pivotArea type="data" outline="0" fieldPosition="0">
        <references count="3">
          <reference field="4294967294" count="1" selected="0">
            <x v="0"/>
          </reference>
          <reference field="0" count="1" selected="0">
            <x v="2"/>
          </reference>
          <reference field="2" count="1" selected="0">
            <x v="3"/>
          </reference>
        </references>
      </pivotArea>
    </chartFormat>
    <chartFormat chart="9" format="226">
      <pivotArea type="data" outline="0" fieldPosition="0">
        <references count="3">
          <reference field="4294967294" count="1" selected="0">
            <x v="0"/>
          </reference>
          <reference field="0" count="1" selected="0">
            <x v="3"/>
          </reference>
          <reference field="2" count="1" selected="0">
            <x v="3"/>
          </reference>
        </references>
      </pivotArea>
    </chartFormat>
    <chartFormat chart="9" format="227">
      <pivotArea type="data" outline="0" fieldPosition="0">
        <references count="3">
          <reference field="4294967294" count="1" selected="0">
            <x v="0"/>
          </reference>
          <reference field="0" count="1" selected="0">
            <x v="4"/>
          </reference>
          <reference field="2" count="1" selected="0">
            <x v="3"/>
          </reference>
        </references>
      </pivotArea>
    </chartFormat>
    <chartFormat chart="9" format="228">
      <pivotArea type="data" outline="0" fieldPosition="0">
        <references count="3">
          <reference field="4294967294" count="1" selected="0">
            <x v="0"/>
          </reference>
          <reference field="0" count="1" selected="0">
            <x v="5"/>
          </reference>
          <reference field="2" count="1" selected="0">
            <x v="3"/>
          </reference>
        </references>
      </pivotArea>
    </chartFormat>
    <chartFormat chart="9" format="229">
      <pivotArea type="data" outline="0" fieldPosition="0">
        <references count="3">
          <reference field="4294967294" count="1" selected="0">
            <x v="0"/>
          </reference>
          <reference field="0" count="1" selected="0">
            <x v="6"/>
          </reference>
          <reference field="2" count="1" selected="0">
            <x v="3"/>
          </reference>
        </references>
      </pivotArea>
    </chartFormat>
    <chartFormat chart="9" format="230">
      <pivotArea type="data" outline="0" fieldPosition="0">
        <references count="3">
          <reference field="4294967294" count="1" selected="0">
            <x v="0"/>
          </reference>
          <reference field="0" count="1" selected="0">
            <x v="7"/>
          </reference>
          <reference field="2" count="1" selected="0">
            <x v="3"/>
          </reference>
        </references>
      </pivotArea>
    </chartFormat>
    <chartFormat chart="9" format="231">
      <pivotArea type="data" outline="0" fieldPosition="0">
        <references count="3">
          <reference field="4294967294" count="1" selected="0">
            <x v="0"/>
          </reference>
          <reference field="0" count="1" selected="0">
            <x v="8"/>
          </reference>
          <reference field="2" count="1" selected="0">
            <x v="3"/>
          </reference>
        </references>
      </pivotArea>
    </chartFormat>
    <chartFormat chart="9" format="232">
      <pivotArea type="data" outline="0" fieldPosition="0">
        <references count="3">
          <reference field="4294967294" count="1" selected="0">
            <x v="0"/>
          </reference>
          <reference field="0" count="1" selected="0">
            <x v="9"/>
          </reference>
          <reference field="2" count="1" selected="0">
            <x v="3"/>
          </reference>
        </references>
      </pivotArea>
    </chartFormat>
    <chartFormat chart="9" format="233">
      <pivotArea type="data" outline="0" fieldPosition="0">
        <references count="3">
          <reference field="4294967294" count="1" selected="0">
            <x v="0"/>
          </reference>
          <reference field="0" count="1" selected="0">
            <x v="10"/>
          </reference>
          <reference field="2" count="1" selected="0">
            <x v="3"/>
          </reference>
        </references>
      </pivotArea>
    </chartFormat>
    <chartFormat chart="9" format="234">
      <pivotArea type="data" outline="0" fieldPosition="0">
        <references count="3">
          <reference field="4294967294" count="1" selected="0">
            <x v="0"/>
          </reference>
          <reference field="0" count="1" selected="0">
            <x v="11"/>
          </reference>
          <reference field="2" count="1" selected="0">
            <x v="3"/>
          </reference>
        </references>
      </pivotArea>
    </chartFormat>
    <chartFormat chart="9" format="235">
      <pivotArea type="data" outline="0" fieldPosition="0">
        <references count="3">
          <reference field="4294967294" count="1" selected="0">
            <x v="0"/>
          </reference>
          <reference field="0" count="1" selected="0">
            <x v="12"/>
          </reference>
          <reference field="2" count="1" selected="0">
            <x v="3"/>
          </reference>
        </references>
      </pivotArea>
    </chartFormat>
    <chartFormat chart="9" format="236">
      <pivotArea type="data" outline="0" fieldPosition="0">
        <references count="3">
          <reference field="4294967294" count="1" selected="0">
            <x v="0"/>
          </reference>
          <reference field="0" count="1" selected="0">
            <x v="13"/>
          </reference>
          <reference field="2" count="1" selected="0">
            <x v="3"/>
          </reference>
        </references>
      </pivotArea>
    </chartFormat>
    <chartFormat chart="9" format="237">
      <pivotArea type="data" outline="0" fieldPosition="0">
        <references count="3">
          <reference field="4294967294" count="1" selected="0">
            <x v="0"/>
          </reference>
          <reference field="0" count="1" selected="0">
            <x v="14"/>
          </reference>
          <reference field="2" count="1" selected="0">
            <x v="3"/>
          </reference>
        </references>
      </pivotArea>
    </chartFormat>
    <chartFormat chart="9" format="238">
      <pivotArea type="data" outline="0" fieldPosition="0">
        <references count="3">
          <reference field="4294967294" count="1" selected="0">
            <x v="0"/>
          </reference>
          <reference field="0" count="1" selected="0">
            <x v="15"/>
          </reference>
          <reference field="2" count="1" selected="0">
            <x v="3"/>
          </reference>
        </references>
      </pivotArea>
    </chartFormat>
    <chartFormat chart="9" format="239">
      <pivotArea type="data" outline="0" fieldPosition="0">
        <references count="3">
          <reference field="4294967294" count="1" selected="0">
            <x v="0"/>
          </reference>
          <reference field="0" count="1" selected="0">
            <x v="16"/>
          </reference>
          <reference field="2" count="1" selected="0">
            <x v="3"/>
          </reference>
        </references>
      </pivotArea>
    </chartFormat>
    <chartFormat chart="9" format="240">
      <pivotArea type="data" outline="0" fieldPosition="0">
        <references count="3">
          <reference field="4294967294" count="1" selected="0">
            <x v="0"/>
          </reference>
          <reference field="0" count="1" selected="0">
            <x v="17"/>
          </reference>
          <reference field="2" count="1" selected="0">
            <x v="3"/>
          </reference>
        </references>
      </pivotArea>
    </chartFormat>
    <chartFormat chart="9" format="241">
      <pivotArea type="data" outline="0" fieldPosition="0">
        <references count="3">
          <reference field="4294967294" count="1" selected="0">
            <x v="0"/>
          </reference>
          <reference field="0" count="1" selected="0">
            <x v="18"/>
          </reference>
          <reference field="2" count="1" selected="0">
            <x v="3"/>
          </reference>
        </references>
      </pivotArea>
    </chartFormat>
    <chartFormat chart="9" format="242">
      <pivotArea type="data" outline="0" fieldPosition="0">
        <references count="3">
          <reference field="4294967294" count="1" selected="0">
            <x v="0"/>
          </reference>
          <reference field="0" count="1" selected="0">
            <x v="19"/>
          </reference>
          <reference field="2" count="1" selected="0">
            <x v="3"/>
          </reference>
        </references>
      </pivotArea>
    </chartFormat>
    <chartFormat chart="9" format="243">
      <pivotArea type="data" outline="0" fieldPosition="0">
        <references count="3">
          <reference field="4294967294" count="1" selected="0">
            <x v="0"/>
          </reference>
          <reference field="0" count="1" selected="0">
            <x v="20"/>
          </reference>
          <reference field="2" count="1" selected="0">
            <x v="3"/>
          </reference>
        </references>
      </pivotArea>
    </chartFormat>
    <chartFormat chart="9" format="244">
      <pivotArea type="data" outline="0" fieldPosition="0">
        <references count="3">
          <reference field="4294967294" count="1" selected="0">
            <x v="0"/>
          </reference>
          <reference field="0" count="1" selected="0">
            <x v="21"/>
          </reference>
          <reference field="2" count="1" selected="0">
            <x v="3"/>
          </reference>
        </references>
      </pivotArea>
    </chartFormat>
    <chartFormat chart="9" format="245">
      <pivotArea type="data" outline="0" fieldPosition="0">
        <references count="3">
          <reference field="4294967294" count="1" selected="0">
            <x v="0"/>
          </reference>
          <reference field="0" count="1" selected="0">
            <x v="22"/>
          </reference>
          <reference field="2" count="1" selected="0">
            <x v="3"/>
          </reference>
        </references>
      </pivotArea>
    </chartFormat>
    <chartFormat chart="9" format="246">
      <pivotArea type="data" outline="0" fieldPosition="0">
        <references count="3">
          <reference field="4294967294" count="1" selected="0">
            <x v="0"/>
          </reference>
          <reference field="0" count="1" selected="0">
            <x v="23"/>
          </reference>
          <reference field="2" count="1" selected="0">
            <x v="3"/>
          </reference>
        </references>
      </pivotArea>
    </chartFormat>
    <chartFormat chart="9" format="247">
      <pivotArea type="data" outline="0" fieldPosition="0">
        <references count="3">
          <reference field="4294967294" count="1" selected="0">
            <x v="0"/>
          </reference>
          <reference field="0" count="1" selected="0">
            <x v="24"/>
          </reference>
          <reference field="2" count="1" selected="0">
            <x v="3"/>
          </reference>
        </references>
      </pivotArea>
    </chartFormat>
    <chartFormat chart="9" format="248">
      <pivotArea type="data" outline="0" fieldPosition="0">
        <references count="3">
          <reference field="4294967294" count="1" selected="0">
            <x v="0"/>
          </reference>
          <reference field="0" count="1" selected="0">
            <x v="25"/>
          </reference>
          <reference field="2" count="1" selected="0">
            <x v="3"/>
          </reference>
        </references>
      </pivotArea>
    </chartFormat>
    <chartFormat chart="9" format="249">
      <pivotArea type="data" outline="0" fieldPosition="0">
        <references count="3">
          <reference field="4294967294" count="1" selected="0">
            <x v="0"/>
          </reference>
          <reference field="0" count="1" selected="0">
            <x v="26"/>
          </reference>
          <reference field="2" count="1" selected="0">
            <x v="3"/>
          </reference>
        </references>
      </pivotArea>
    </chartFormat>
    <chartFormat chart="9" format="250">
      <pivotArea type="data" outline="0" fieldPosition="0">
        <references count="3">
          <reference field="4294967294" count="1" selected="0">
            <x v="0"/>
          </reference>
          <reference field="0" count="1" selected="0">
            <x v="27"/>
          </reference>
          <reference field="2" count="1" selected="0">
            <x v="3"/>
          </reference>
        </references>
      </pivotArea>
    </chartFormat>
    <chartFormat chart="9" format="251">
      <pivotArea type="data" outline="0" fieldPosition="0">
        <references count="3">
          <reference field="4294967294" count="1" selected="0">
            <x v="0"/>
          </reference>
          <reference field="0" count="1" selected="0">
            <x v="28"/>
          </reference>
          <reference field="2" count="1" selected="0">
            <x v="3"/>
          </reference>
        </references>
      </pivotArea>
    </chartFormat>
    <chartFormat chart="9" format="252">
      <pivotArea type="data" outline="0" fieldPosition="0">
        <references count="3">
          <reference field="4294967294" count="1" selected="0">
            <x v="0"/>
          </reference>
          <reference field="0" count="1" selected="0">
            <x v="29"/>
          </reference>
          <reference field="2" count="1" selected="0">
            <x v="3"/>
          </reference>
        </references>
      </pivotArea>
    </chartFormat>
    <chartFormat chart="9" format="25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9" format="254" series="1">
      <pivotArea type="data" outline="0" fieldPosition="0">
        <references count="2">
          <reference field="4294967294" count="1" selected="0">
            <x v="0"/>
          </reference>
          <reference field="2" count="1" selected="0">
            <x v="4"/>
          </reference>
        </references>
      </pivotArea>
    </chartFormat>
    <chartFormat chart="9" format="255">
      <pivotArea type="data" outline="0" fieldPosition="0">
        <references count="3">
          <reference field="4294967294" count="1" selected="0">
            <x v="0"/>
          </reference>
          <reference field="0" count="1" selected="0">
            <x v="30"/>
          </reference>
          <reference field="2" count="1" selected="0">
            <x v="0"/>
          </reference>
        </references>
      </pivotArea>
    </chartFormat>
    <chartFormat chart="9" format="256">
      <pivotArea type="data" outline="0" fieldPosition="0">
        <references count="3">
          <reference field="4294967294" count="1" selected="0">
            <x v="0"/>
          </reference>
          <reference field="0" count="1" selected="0">
            <x v="30"/>
          </reference>
          <reference field="2" count="1" selected="0">
            <x v="1"/>
          </reference>
        </references>
      </pivotArea>
    </chartFormat>
    <chartFormat chart="9" format="257">
      <pivotArea type="data" outline="0" fieldPosition="0">
        <references count="3">
          <reference field="4294967294" count="1" selected="0">
            <x v="0"/>
          </reference>
          <reference field="0" count="1" selected="0">
            <x v="30"/>
          </reference>
          <reference field="2" count="1" selected="0">
            <x v="2"/>
          </reference>
        </references>
      </pivotArea>
    </chartFormat>
    <chartFormat chart="9" format="258">
      <pivotArea type="data" outline="0" fieldPosition="0">
        <references count="3">
          <reference field="4294967294" count="1" selected="0">
            <x v="0"/>
          </reference>
          <reference field="0" count="1" selected="0">
            <x v="30"/>
          </reference>
          <reference field="2" count="1" selected="0">
            <x v="3"/>
          </reference>
        </references>
      </pivotArea>
    </chartFormat>
    <chartFormat chart="9" format="259">
      <pivotArea type="data" outline="0" fieldPosition="0">
        <references count="3">
          <reference field="4294967294" count="1" selected="0">
            <x v="0"/>
          </reference>
          <reference field="0" count="1" selected="0">
            <x v="0"/>
          </reference>
          <reference field="2" count="1" selected="0">
            <x v="4"/>
          </reference>
        </references>
      </pivotArea>
    </chartFormat>
    <chartFormat chart="9" format="260">
      <pivotArea type="data" outline="0" fieldPosition="0">
        <references count="3">
          <reference field="4294967294" count="1" selected="0">
            <x v="0"/>
          </reference>
          <reference field="0" count="1" selected="0">
            <x v="1"/>
          </reference>
          <reference field="2" count="1" selected="0">
            <x v="4"/>
          </reference>
        </references>
      </pivotArea>
    </chartFormat>
    <chartFormat chart="9" format="261">
      <pivotArea type="data" outline="0" fieldPosition="0">
        <references count="3">
          <reference field="4294967294" count="1" selected="0">
            <x v="0"/>
          </reference>
          <reference field="0" count="1" selected="0">
            <x v="2"/>
          </reference>
          <reference field="2" count="1" selected="0">
            <x v="4"/>
          </reference>
        </references>
      </pivotArea>
    </chartFormat>
    <chartFormat chart="9" format="262">
      <pivotArea type="data" outline="0" fieldPosition="0">
        <references count="3">
          <reference field="4294967294" count="1" selected="0">
            <x v="0"/>
          </reference>
          <reference field="0" count="1" selected="0">
            <x v="3"/>
          </reference>
          <reference field="2" count="1" selected="0">
            <x v="4"/>
          </reference>
        </references>
      </pivotArea>
    </chartFormat>
    <chartFormat chart="9" format="263">
      <pivotArea type="data" outline="0" fieldPosition="0">
        <references count="3">
          <reference field="4294967294" count="1" selected="0">
            <x v="0"/>
          </reference>
          <reference field="0" count="1" selected="0">
            <x v="4"/>
          </reference>
          <reference field="2" count="1" selected="0">
            <x v="4"/>
          </reference>
        </references>
      </pivotArea>
    </chartFormat>
    <chartFormat chart="9" format="264">
      <pivotArea type="data" outline="0" fieldPosition="0">
        <references count="3">
          <reference field="4294967294" count="1" selected="0">
            <x v="0"/>
          </reference>
          <reference field="0" count="1" selected="0">
            <x v="5"/>
          </reference>
          <reference field="2" count="1" selected="0">
            <x v="4"/>
          </reference>
        </references>
      </pivotArea>
    </chartFormat>
    <chartFormat chart="9" format="265">
      <pivotArea type="data" outline="0" fieldPosition="0">
        <references count="3">
          <reference field="4294967294" count="1" selected="0">
            <x v="0"/>
          </reference>
          <reference field="0" count="1" selected="0">
            <x v="6"/>
          </reference>
          <reference field="2" count="1" selected="0">
            <x v="4"/>
          </reference>
        </references>
      </pivotArea>
    </chartFormat>
    <chartFormat chart="9" format="266">
      <pivotArea type="data" outline="0" fieldPosition="0">
        <references count="3">
          <reference field="4294967294" count="1" selected="0">
            <x v="0"/>
          </reference>
          <reference field="0" count="1" selected="0">
            <x v="7"/>
          </reference>
          <reference field="2" count="1" selected="0">
            <x v="4"/>
          </reference>
        </references>
      </pivotArea>
    </chartFormat>
    <chartFormat chart="9" format="267">
      <pivotArea type="data" outline="0" fieldPosition="0">
        <references count="3">
          <reference field="4294967294" count="1" selected="0">
            <x v="0"/>
          </reference>
          <reference field="0" count="1" selected="0">
            <x v="8"/>
          </reference>
          <reference field="2" count="1" selected="0">
            <x v="4"/>
          </reference>
        </references>
      </pivotArea>
    </chartFormat>
    <chartFormat chart="9" format="268">
      <pivotArea type="data" outline="0" fieldPosition="0">
        <references count="3">
          <reference field="4294967294" count="1" selected="0">
            <x v="0"/>
          </reference>
          <reference field="0" count="1" selected="0">
            <x v="9"/>
          </reference>
          <reference field="2" count="1" selected="0">
            <x v="4"/>
          </reference>
        </references>
      </pivotArea>
    </chartFormat>
    <chartFormat chart="9" format="269">
      <pivotArea type="data" outline="0" fieldPosition="0">
        <references count="3">
          <reference field="4294967294" count="1" selected="0">
            <x v="0"/>
          </reference>
          <reference field="0" count="1" selected="0">
            <x v="10"/>
          </reference>
          <reference field="2" count="1" selected="0">
            <x v="4"/>
          </reference>
        </references>
      </pivotArea>
    </chartFormat>
    <chartFormat chart="9" format="270">
      <pivotArea type="data" outline="0" fieldPosition="0">
        <references count="3">
          <reference field="4294967294" count="1" selected="0">
            <x v="0"/>
          </reference>
          <reference field="0" count="1" selected="0">
            <x v="11"/>
          </reference>
          <reference field="2" count="1" selected="0">
            <x v="4"/>
          </reference>
        </references>
      </pivotArea>
    </chartFormat>
    <chartFormat chart="9" format="271">
      <pivotArea type="data" outline="0" fieldPosition="0">
        <references count="3">
          <reference field="4294967294" count="1" selected="0">
            <x v="0"/>
          </reference>
          <reference field="0" count="1" selected="0">
            <x v="12"/>
          </reference>
          <reference field="2" count="1" selected="0">
            <x v="4"/>
          </reference>
        </references>
      </pivotArea>
    </chartFormat>
    <chartFormat chart="9" format="272">
      <pivotArea type="data" outline="0" fieldPosition="0">
        <references count="3">
          <reference field="4294967294" count="1" selected="0">
            <x v="0"/>
          </reference>
          <reference field="0" count="1" selected="0">
            <x v="13"/>
          </reference>
          <reference field="2" count="1" selected="0">
            <x v="4"/>
          </reference>
        </references>
      </pivotArea>
    </chartFormat>
    <chartFormat chart="9" format="273">
      <pivotArea type="data" outline="0" fieldPosition="0">
        <references count="3">
          <reference field="4294967294" count="1" selected="0">
            <x v="0"/>
          </reference>
          <reference field="0" count="1" selected="0">
            <x v="14"/>
          </reference>
          <reference field="2" count="1" selected="0">
            <x v="4"/>
          </reference>
        </references>
      </pivotArea>
    </chartFormat>
    <chartFormat chart="9" format="274">
      <pivotArea type="data" outline="0" fieldPosition="0">
        <references count="3">
          <reference field="4294967294" count="1" selected="0">
            <x v="0"/>
          </reference>
          <reference field="0" count="1" selected="0">
            <x v="15"/>
          </reference>
          <reference field="2" count="1" selected="0">
            <x v="4"/>
          </reference>
        </references>
      </pivotArea>
    </chartFormat>
    <chartFormat chart="9" format="275">
      <pivotArea type="data" outline="0" fieldPosition="0">
        <references count="3">
          <reference field="4294967294" count="1" selected="0">
            <x v="0"/>
          </reference>
          <reference field="0" count="1" selected="0">
            <x v="16"/>
          </reference>
          <reference field="2" count="1" selected="0">
            <x v="4"/>
          </reference>
        </references>
      </pivotArea>
    </chartFormat>
    <chartFormat chart="9" format="276">
      <pivotArea type="data" outline="0" fieldPosition="0">
        <references count="3">
          <reference field="4294967294" count="1" selected="0">
            <x v="0"/>
          </reference>
          <reference field="0" count="1" selected="0">
            <x v="17"/>
          </reference>
          <reference field="2" count="1" selected="0">
            <x v="4"/>
          </reference>
        </references>
      </pivotArea>
    </chartFormat>
    <chartFormat chart="9" format="277">
      <pivotArea type="data" outline="0" fieldPosition="0">
        <references count="3">
          <reference field="4294967294" count="1" selected="0">
            <x v="0"/>
          </reference>
          <reference field="0" count="1" selected="0">
            <x v="18"/>
          </reference>
          <reference field="2" count="1" selected="0">
            <x v="4"/>
          </reference>
        </references>
      </pivotArea>
    </chartFormat>
    <chartFormat chart="9" format="278">
      <pivotArea type="data" outline="0" fieldPosition="0">
        <references count="3">
          <reference field="4294967294" count="1" selected="0">
            <x v="0"/>
          </reference>
          <reference field="0" count="1" selected="0">
            <x v="19"/>
          </reference>
          <reference field="2" count="1" selected="0">
            <x v="4"/>
          </reference>
        </references>
      </pivotArea>
    </chartFormat>
    <chartFormat chart="9" format="279">
      <pivotArea type="data" outline="0" fieldPosition="0">
        <references count="3">
          <reference field="4294967294" count="1" selected="0">
            <x v="0"/>
          </reference>
          <reference field="0" count="1" selected="0">
            <x v="20"/>
          </reference>
          <reference field="2" count="1" selected="0">
            <x v="4"/>
          </reference>
        </references>
      </pivotArea>
    </chartFormat>
    <chartFormat chart="9" format="280">
      <pivotArea type="data" outline="0" fieldPosition="0">
        <references count="3">
          <reference field="4294967294" count="1" selected="0">
            <x v="0"/>
          </reference>
          <reference field="0" count="1" selected="0">
            <x v="21"/>
          </reference>
          <reference field="2" count="1" selected="0">
            <x v="4"/>
          </reference>
        </references>
      </pivotArea>
    </chartFormat>
    <chartFormat chart="9" format="281">
      <pivotArea type="data" outline="0" fieldPosition="0">
        <references count="3">
          <reference field="4294967294" count="1" selected="0">
            <x v="0"/>
          </reference>
          <reference field="0" count="1" selected="0">
            <x v="22"/>
          </reference>
          <reference field="2" count="1" selected="0">
            <x v="4"/>
          </reference>
        </references>
      </pivotArea>
    </chartFormat>
    <chartFormat chart="9" format="282">
      <pivotArea type="data" outline="0" fieldPosition="0">
        <references count="3">
          <reference field="4294967294" count="1" selected="0">
            <x v="0"/>
          </reference>
          <reference field="0" count="1" selected="0">
            <x v="23"/>
          </reference>
          <reference field="2" count="1" selected="0">
            <x v="4"/>
          </reference>
        </references>
      </pivotArea>
    </chartFormat>
    <chartFormat chart="9" format="283">
      <pivotArea type="data" outline="0" fieldPosition="0">
        <references count="3">
          <reference field="4294967294" count="1" selected="0">
            <x v="0"/>
          </reference>
          <reference field="0" count="1" selected="0">
            <x v="24"/>
          </reference>
          <reference field="2" count="1" selected="0">
            <x v="4"/>
          </reference>
        </references>
      </pivotArea>
    </chartFormat>
    <chartFormat chart="9" format="284">
      <pivotArea type="data" outline="0" fieldPosition="0">
        <references count="3">
          <reference field="4294967294" count="1" selected="0">
            <x v="0"/>
          </reference>
          <reference field="0" count="1" selected="0">
            <x v="25"/>
          </reference>
          <reference field="2" count="1" selected="0">
            <x v="4"/>
          </reference>
        </references>
      </pivotArea>
    </chartFormat>
    <chartFormat chart="9" format="285">
      <pivotArea type="data" outline="0" fieldPosition="0">
        <references count="3">
          <reference field="4294967294" count="1" selected="0">
            <x v="0"/>
          </reference>
          <reference field="0" count="1" selected="0">
            <x v="26"/>
          </reference>
          <reference field="2" count="1" selected="0">
            <x v="4"/>
          </reference>
        </references>
      </pivotArea>
    </chartFormat>
    <chartFormat chart="9" format="286">
      <pivotArea type="data" outline="0" fieldPosition="0">
        <references count="3">
          <reference field="4294967294" count="1" selected="0">
            <x v="0"/>
          </reference>
          <reference field="0" count="1" selected="0">
            <x v="27"/>
          </reference>
          <reference field="2" count="1" selected="0">
            <x v="4"/>
          </reference>
        </references>
      </pivotArea>
    </chartFormat>
    <chartFormat chart="9" format="287">
      <pivotArea type="data" outline="0" fieldPosition="0">
        <references count="3">
          <reference field="4294967294" count="1" selected="0">
            <x v="0"/>
          </reference>
          <reference field="0" count="1" selected="0">
            <x v="28"/>
          </reference>
          <reference field="2" count="1" selected="0">
            <x v="4"/>
          </reference>
        </references>
      </pivotArea>
    </chartFormat>
    <chartFormat chart="9" format="288">
      <pivotArea type="data" outline="0" fieldPosition="0">
        <references count="3">
          <reference field="4294967294" count="1" selected="0">
            <x v="0"/>
          </reference>
          <reference field="0" count="1" selected="0">
            <x v="29"/>
          </reference>
          <reference field="2" count="1" selected="0">
            <x v="4"/>
          </reference>
        </references>
      </pivotArea>
    </chartFormat>
    <chartFormat chart="9" format="289">
      <pivotArea type="data" outline="0" fieldPosition="0">
        <references count="3">
          <reference field="4294967294" count="1" selected="0">
            <x v="0"/>
          </reference>
          <reference field="0" count="1" selected="0">
            <x v="30"/>
          </reference>
          <reference field="2" count="1" selected="0">
            <x v="4"/>
          </reference>
        </references>
      </pivotArea>
    </chartFormat>
    <chartFormat chart="2" format="6">
      <pivotArea type="data" outline="0" fieldPosition="0">
        <references count="3">
          <reference field="4294967294" count="1" selected="0">
            <x v="0"/>
          </reference>
          <reference field="0" count="1" selected="0">
            <x v="0"/>
          </reference>
          <reference field="2" count="1" selected="0">
            <x v="0"/>
          </reference>
        </references>
      </pivotArea>
    </chartFormat>
    <chartFormat chart="2" format="7">
      <pivotArea type="data" outline="0" fieldPosition="0">
        <references count="3">
          <reference field="4294967294" count="1" selected="0">
            <x v="0"/>
          </reference>
          <reference field="0" count="1" selected="0">
            <x v="1"/>
          </reference>
          <reference field="2" count="1" selected="0">
            <x v="0"/>
          </reference>
        </references>
      </pivotArea>
    </chartFormat>
    <chartFormat chart="2" format="8">
      <pivotArea type="data" outline="0" fieldPosition="0">
        <references count="3">
          <reference field="4294967294" count="1" selected="0">
            <x v="0"/>
          </reference>
          <reference field="0" count="1" selected="0">
            <x v="2"/>
          </reference>
          <reference field="2" count="1" selected="0">
            <x v="0"/>
          </reference>
        </references>
      </pivotArea>
    </chartFormat>
    <chartFormat chart="2" format="9">
      <pivotArea type="data" outline="0" fieldPosition="0">
        <references count="3">
          <reference field="4294967294" count="1" selected="0">
            <x v="0"/>
          </reference>
          <reference field="0" count="1" selected="0">
            <x v="3"/>
          </reference>
          <reference field="2" count="1" selected="0">
            <x v="0"/>
          </reference>
        </references>
      </pivotArea>
    </chartFormat>
    <chartFormat chart="2" format="10">
      <pivotArea type="data" outline="0" fieldPosition="0">
        <references count="3">
          <reference field="4294967294" count="1" selected="0">
            <x v="0"/>
          </reference>
          <reference field="0" count="1" selected="0">
            <x v="4"/>
          </reference>
          <reference field="2" count="1" selected="0">
            <x v="0"/>
          </reference>
        </references>
      </pivotArea>
    </chartFormat>
    <chartFormat chart="2" format="11">
      <pivotArea type="data" outline="0" fieldPosition="0">
        <references count="3">
          <reference field="4294967294" count="1" selected="0">
            <x v="0"/>
          </reference>
          <reference field="0" count="1" selected="0">
            <x v="5"/>
          </reference>
          <reference field="2" count="1" selected="0">
            <x v="0"/>
          </reference>
        </references>
      </pivotArea>
    </chartFormat>
    <chartFormat chart="2" format="12">
      <pivotArea type="data" outline="0" fieldPosition="0">
        <references count="3">
          <reference field="4294967294" count="1" selected="0">
            <x v="0"/>
          </reference>
          <reference field="0" count="1" selected="0">
            <x v="6"/>
          </reference>
          <reference field="2" count="1" selected="0">
            <x v="0"/>
          </reference>
        </references>
      </pivotArea>
    </chartFormat>
    <chartFormat chart="2" format="13">
      <pivotArea type="data" outline="0" fieldPosition="0">
        <references count="3">
          <reference field="4294967294" count="1" selected="0">
            <x v="0"/>
          </reference>
          <reference field="0" count="1" selected="0">
            <x v="7"/>
          </reference>
          <reference field="2" count="1" selected="0">
            <x v="0"/>
          </reference>
        </references>
      </pivotArea>
    </chartFormat>
    <chartFormat chart="2" format="14">
      <pivotArea type="data" outline="0" fieldPosition="0">
        <references count="3">
          <reference field="4294967294" count="1" selected="0">
            <x v="0"/>
          </reference>
          <reference field="0" count="1" selected="0">
            <x v="8"/>
          </reference>
          <reference field="2" count="1" selected="0">
            <x v="0"/>
          </reference>
        </references>
      </pivotArea>
    </chartFormat>
    <chartFormat chart="2" format="15">
      <pivotArea type="data" outline="0" fieldPosition="0">
        <references count="3">
          <reference field="4294967294" count="1" selected="0">
            <x v="0"/>
          </reference>
          <reference field="0" count="1" selected="0">
            <x v="9"/>
          </reference>
          <reference field="2" count="1" selected="0">
            <x v="0"/>
          </reference>
        </references>
      </pivotArea>
    </chartFormat>
    <chartFormat chart="2" format="16">
      <pivotArea type="data" outline="0" fieldPosition="0">
        <references count="3">
          <reference field="4294967294" count="1" selected="0">
            <x v="0"/>
          </reference>
          <reference field="0" count="1" selected="0">
            <x v="10"/>
          </reference>
          <reference field="2" count="1" selected="0">
            <x v="0"/>
          </reference>
        </references>
      </pivotArea>
    </chartFormat>
    <chartFormat chart="2" format="17">
      <pivotArea type="data" outline="0" fieldPosition="0">
        <references count="3">
          <reference field="4294967294" count="1" selected="0">
            <x v="0"/>
          </reference>
          <reference field="0" count="1" selected="0">
            <x v="11"/>
          </reference>
          <reference field="2" count="1" selected="0">
            <x v="0"/>
          </reference>
        </references>
      </pivotArea>
    </chartFormat>
    <chartFormat chart="2" format="18">
      <pivotArea type="data" outline="0" fieldPosition="0">
        <references count="3">
          <reference field="4294967294" count="1" selected="0">
            <x v="0"/>
          </reference>
          <reference field="0" count="1" selected="0">
            <x v="12"/>
          </reference>
          <reference field="2" count="1" selected="0">
            <x v="0"/>
          </reference>
        </references>
      </pivotArea>
    </chartFormat>
    <chartFormat chart="2" format="19">
      <pivotArea type="data" outline="0" fieldPosition="0">
        <references count="3">
          <reference field="4294967294" count="1" selected="0">
            <x v="0"/>
          </reference>
          <reference field="0" count="1" selected="0">
            <x v="13"/>
          </reference>
          <reference field="2" count="1" selected="0">
            <x v="0"/>
          </reference>
        </references>
      </pivotArea>
    </chartFormat>
    <chartFormat chart="2" format="20">
      <pivotArea type="data" outline="0" fieldPosition="0">
        <references count="3">
          <reference field="4294967294" count="1" selected="0">
            <x v="0"/>
          </reference>
          <reference field="0" count="1" selected="0">
            <x v="14"/>
          </reference>
          <reference field="2" count="1" selected="0">
            <x v="0"/>
          </reference>
        </references>
      </pivotArea>
    </chartFormat>
    <chartFormat chart="2" format="21">
      <pivotArea type="data" outline="0" fieldPosition="0">
        <references count="3">
          <reference field="4294967294" count="1" selected="0">
            <x v="0"/>
          </reference>
          <reference field="0" count="1" selected="0">
            <x v="15"/>
          </reference>
          <reference field="2" count="1" selected="0">
            <x v="0"/>
          </reference>
        </references>
      </pivotArea>
    </chartFormat>
    <chartFormat chart="2" format="22">
      <pivotArea type="data" outline="0" fieldPosition="0">
        <references count="3">
          <reference field="4294967294" count="1" selected="0">
            <x v="0"/>
          </reference>
          <reference field="0" count="1" selected="0">
            <x v="16"/>
          </reference>
          <reference field="2" count="1" selected="0">
            <x v="0"/>
          </reference>
        </references>
      </pivotArea>
    </chartFormat>
    <chartFormat chart="2" format="23">
      <pivotArea type="data" outline="0" fieldPosition="0">
        <references count="3">
          <reference field="4294967294" count="1" selected="0">
            <x v="0"/>
          </reference>
          <reference field="0" count="1" selected="0">
            <x v="17"/>
          </reference>
          <reference field="2" count="1" selected="0">
            <x v="0"/>
          </reference>
        </references>
      </pivotArea>
    </chartFormat>
    <chartFormat chart="2" format="24">
      <pivotArea type="data" outline="0" fieldPosition="0">
        <references count="3">
          <reference field="4294967294" count="1" selected="0">
            <x v="0"/>
          </reference>
          <reference field="0" count="1" selected="0">
            <x v="18"/>
          </reference>
          <reference field="2" count="1" selected="0">
            <x v="0"/>
          </reference>
        </references>
      </pivotArea>
    </chartFormat>
    <chartFormat chart="2" format="25">
      <pivotArea type="data" outline="0" fieldPosition="0">
        <references count="3">
          <reference field="4294967294" count="1" selected="0">
            <x v="0"/>
          </reference>
          <reference field="0" count="1" selected="0">
            <x v="19"/>
          </reference>
          <reference field="2" count="1" selected="0">
            <x v="0"/>
          </reference>
        </references>
      </pivotArea>
    </chartFormat>
    <chartFormat chart="2" format="26">
      <pivotArea type="data" outline="0" fieldPosition="0">
        <references count="3">
          <reference field="4294967294" count="1" selected="0">
            <x v="0"/>
          </reference>
          <reference field="0" count="1" selected="0">
            <x v="20"/>
          </reference>
          <reference field="2" count="1" selected="0">
            <x v="0"/>
          </reference>
        </references>
      </pivotArea>
    </chartFormat>
    <chartFormat chart="2" format="27">
      <pivotArea type="data" outline="0" fieldPosition="0">
        <references count="3">
          <reference field="4294967294" count="1" selected="0">
            <x v="0"/>
          </reference>
          <reference field="0" count="1" selected="0">
            <x v="21"/>
          </reference>
          <reference field="2" count="1" selected="0">
            <x v="0"/>
          </reference>
        </references>
      </pivotArea>
    </chartFormat>
    <chartFormat chart="2" format="28">
      <pivotArea type="data" outline="0" fieldPosition="0">
        <references count="3">
          <reference field="4294967294" count="1" selected="0">
            <x v="0"/>
          </reference>
          <reference field="0" count="1" selected="0">
            <x v="22"/>
          </reference>
          <reference field="2" count="1" selected="0">
            <x v="0"/>
          </reference>
        </references>
      </pivotArea>
    </chartFormat>
    <chartFormat chart="2" format="29">
      <pivotArea type="data" outline="0" fieldPosition="0">
        <references count="3">
          <reference field="4294967294" count="1" selected="0">
            <x v="0"/>
          </reference>
          <reference field="0" count="1" selected="0">
            <x v="23"/>
          </reference>
          <reference field="2" count="1" selected="0">
            <x v="0"/>
          </reference>
        </references>
      </pivotArea>
    </chartFormat>
    <chartFormat chart="2" format="30">
      <pivotArea type="data" outline="0" fieldPosition="0">
        <references count="3">
          <reference field="4294967294" count="1" selected="0">
            <x v="0"/>
          </reference>
          <reference field="0" count="1" selected="0">
            <x v="24"/>
          </reference>
          <reference field="2" count="1" selected="0">
            <x v="0"/>
          </reference>
        </references>
      </pivotArea>
    </chartFormat>
    <chartFormat chart="2" format="31">
      <pivotArea type="data" outline="0" fieldPosition="0">
        <references count="3">
          <reference field="4294967294" count="1" selected="0">
            <x v="0"/>
          </reference>
          <reference field="0" count="1" selected="0">
            <x v="25"/>
          </reference>
          <reference field="2" count="1" selected="0">
            <x v="0"/>
          </reference>
        </references>
      </pivotArea>
    </chartFormat>
    <chartFormat chart="2" format="32">
      <pivotArea type="data" outline="0" fieldPosition="0">
        <references count="3">
          <reference field="4294967294" count="1" selected="0">
            <x v="0"/>
          </reference>
          <reference field="0" count="1" selected="0">
            <x v="26"/>
          </reference>
          <reference field="2" count="1" selected="0">
            <x v="0"/>
          </reference>
        </references>
      </pivotArea>
    </chartFormat>
    <chartFormat chart="2" format="33">
      <pivotArea type="data" outline="0" fieldPosition="0">
        <references count="3">
          <reference field="4294967294" count="1" selected="0">
            <x v="0"/>
          </reference>
          <reference field="0" count="1" selected="0">
            <x v="27"/>
          </reference>
          <reference field="2" count="1" selected="0">
            <x v="0"/>
          </reference>
        </references>
      </pivotArea>
    </chartFormat>
    <chartFormat chart="2" format="34">
      <pivotArea type="data" outline="0" fieldPosition="0">
        <references count="3">
          <reference field="4294967294" count="1" selected="0">
            <x v="0"/>
          </reference>
          <reference field="0" count="1" selected="0">
            <x v="28"/>
          </reference>
          <reference field="2" count="1" selected="0">
            <x v="0"/>
          </reference>
        </references>
      </pivotArea>
    </chartFormat>
    <chartFormat chart="2" format="35">
      <pivotArea type="data" outline="0" fieldPosition="0">
        <references count="3">
          <reference field="4294967294" count="1" selected="0">
            <x v="0"/>
          </reference>
          <reference field="0" count="1" selected="0">
            <x v="29"/>
          </reference>
          <reference field="2" count="1" selected="0">
            <x v="0"/>
          </reference>
        </references>
      </pivotArea>
    </chartFormat>
    <chartFormat chart="2" format="36">
      <pivotArea type="data" outline="0" fieldPosition="0">
        <references count="3">
          <reference field="4294967294" count="1" selected="0">
            <x v="0"/>
          </reference>
          <reference field="0" count="1" selected="0">
            <x v="30"/>
          </reference>
          <reference field="2" count="1" selected="0">
            <x v="0"/>
          </reference>
        </references>
      </pivotArea>
    </chartFormat>
    <chartFormat chart="2" format="37">
      <pivotArea type="data" outline="0" fieldPosition="0">
        <references count="3">
          <reference field="4294967294" count="1" selected="0">
            <x v="0"/>
          </reference>
          <reference field="0" count="1" selected="0">
            <x v="0"/>
          </reference>
          <reference field="2" count="1" selected="0">
            <x v="1"/>
          </reference>
        </references>
      </pivotArea>
    </chartFormat>
    <chartFormat chart="2" format="38">
      <pivotArea type="data" outline="0" fieldPosition="0">
        <references count="3">
          <reference field="4294967294" count="1" selected="0">
            <x v="0"/>
          </reference>
          <reference field="0" count="1" selected="0">
            <x v="1"/>
          </reference>
          <reference field="2" count="1" selected="0">
            <x v="1"/>
          </reference>
        </references>
      </pivotArea>
    </chartFormat>
    <chartFormat chart="2" format="39">
      <pivotArea type="data" outline="0" fieldPosition="0">
        <references count="3">
          <reference field="4294967294" count="1" selected="0">
            <x v="0"/>
          </reference>
          <reference field="0" count="1" selected="0">
            <x v="2"/>
          </reference>
          <reference field="2" count="1" selected="0">
            <x v="1"/>
          </reference>
        </references>
      </pivotArea>
    </chartFormat>
    <chartFormat chart="2" format="40">
      <pivotArea type="data" outline="0" fieldPosition="0">
        <references count="3">
          <reference field="4294967294" count="1" selected="0">
            <x v="0"/>
          </reference>
          <reference field="0" count="1" selected="0">
            <x v="3"/>
          </reference>
          <reference field="2" count="1" selected="0">
            <x v="1"/>
          </reference>
        </references>
      </pivotArea>
    </chartFormat>
    <chartFormat chart="2" format="41">
      <pivotArea type="data" outline="0" fieldPosition="0">
        <references count="3">
          <reference field="4294967294" count="1" selected="0">
            <x v="0"/>
          </reference>
          <reference field="0" count="1" selected="0">
            <x v="4"/>
          </reference>
          <reference field="2" count="1" selected="0">
            <x v="1"/>
          </reference>
        </references>
      </pivotArea>
    </chartFormat>
    <chartFormat chart="2" format="42">
      <pivotArea type="data" outline="0" fieldPosition="0">
        <references count="3">
          <reference field="4294967294" count="1" selected="0">
            <x v="0"/>
          </reference>
          <reference field="0" count="1" selected="0">
            <x v="5"/>
          </reference>
          <reference field="2" count="1" selected="0">
            <x v="1"/>
          </reference>
        </references>
      </pivotArea>
    </chartFormat>
    <chartFormat chart="2" format="43">
      <pivotArea type="data" outline="0" fieldPosition="0">
        <references count="3">
          <reference field="4294967294" count="1" selected="0">
            <x v="0"/>
          </reference>
          <reference field="0" count="1" selected="0">
            <x v="6"/>
          </reference>
          <reference field="2" count="1" selected="0">
            <x v="1"/>
          </reference>
        </references>
      </pivotArea>
    </chartFormat>
    <chartFormat chart="2" format="44">
      <pivotArea type="data" outline="0" fieldPosition="0">
        <references count="3">
          <reference field="4294967294" count="1" selected="0">
            <x v="0"/>
          </reference>
          <reference field="0" count="1" selected="0">
            <x v="7"/>
          </reference>
          <reference field="2" count="1" selected="0">
            <x v="1"/>
          </reference>
        </references>
      </pivotArea>
    </chartFormat>
    <chartFormat chart="2" format="45">
      <pivotArea type="data" outline="0" fieldPosition="0">
        <references count="3">
          <reference field="4294967294" count="1" selected="0">
            <x v="0"/>
          </reference>
          <reference field="0" count="1" selected="0">
            <x v="8"/>
          </reference>
          <reference field="2" count="1" selected="0">
            <x v="1"/>
          </reference>
        </references>
      </pivotArea>
    </chartFormat>
    <chartFormat chart="2" format="46">
      <pivotArea type="data" outline="0" fieldPosition="0">
        <references count="3">
          <reference field="4294967294" count="1" selected="0">
            <x v="0"/>
          </reference>
          <reference field="0" count="1" selected="0">
            <x v="9"/>
          </reference>
          <reference field="2" count="1" selected="0">
            <x v="1"/>
          </reference>
        </references>
      </pivotArea>
    </chartFormat>
    <chartFormat chart="2" format="47">
      <pivotArea type="data" outline="0" fieldPosition="0">
        <references count="3">
          <reference field="4294967294" count="1" selected="0">
            <x v="0"/>
          </reference>
          <reference field="0" count="1" selected="0">
            <x v="10"/>
          </reference>
          <reference field="2" count="1" selected="0">
            <x v="1"/>
          </reference>
        </references>
      </pivotArea>
    </chartFormat>
    <chartFormat chart="2" format="48">
      <pivotArea type="data" outline="0" fieldPosition="0">
        <references count="3">
          <reference field="4294967294" count="1" selected="0">
            <x v="0"/>
          </reference>
          <reference field="0" count="1" selected="0">
            <x v="11"/>
          </reference>
          <reference field="2" count="1" selected="0">
            <x v="1"/>
          </reference>
        </references>
      </pivotArea>
    </chartFormat>
    <chartFormat chart="2" format="49">
      <pivotArea type="data" outline="0" fieldPosition="0">
        <references count="3">
          <reference field="4294967294" count="1" selected="0">
            <x v="0"/>
          </reference>
          <reference field="0" count="1" selected="0">
            <x v="12"/>
          </reference>
          <reference field="2" count="1" selected="0">
            <x v="1"/>
          </reference>
        </references>
      </pivotArea>
    </chartFormat>
    <chartFormat chart="2" format="50">
      <pivotArea type="data" outline="0" fieldPosition="0">
        <references count="3">
          <reference field="4294967294" count="1" selected="0">
            <x v="0"/>
          </reference>
          <reference field="0" count="1" selected="0">
            <x v="13"/>
          </reference>
          <reference field="2" count="1" selected="0">
            <x v="1"/>
          </reference>
        </references>
      </pivotArea>
    </chartFormat>
    <chartFormat chart="2" format="51">
      <pivotArea type="data" outline="0" fieldPosition="0">
        <references count="3">
          <reference field="4294967294" count="1" selected="0">
            <x v="0"/>
          </reference>
          <reference field="0" count="1" selected="0">
            <x v="14"/>
          </reference>
          <reference field="2" count="1" selected="0">
            <x v="1"/>
          </reference>
        </references>
      </pivotArea>
    </chartFormat>
    <chartFormat chart="2" format="52">
      <pivotArea type="data" outline="0" fieldPosition="0">
        <references count="3">
          <reference field="4294967294" count="1" selected="0">
            <x v="0"/>
          </reference>
          <reference field="0" count="1" selected="0">
            <x v="15"/>
          </reference>
          <reference field="2" count="1" selected="0">
            <x v="1"/>
          </reference>
        </references>
      </pivotArea>
    </chartFormat>
    <chartFormat chart="2" format="53">
      <pivotArea type="data" outline="0" fieldPosition="0">
        <references count="3">
          <reference field="4294967294" count="1" selected="0">
            <x v="0"/>
          </reference>
          <reference field="0" count="1" selected="0">
            <x v="16"/>
          </reference>
          <reference field="2" count="1" selected="0">
            <x v="1"/>
          </reference>
        </references>
      </pivotArea>
    </chartFormat>
    <chartFormat chart="2" format="54">
      <pivotArea type="data" outline="0" fieldPosition="0">
        <references count="3">
          <reference field="4294967294" count="1" selected="0">
            <x v="0"/>
          </reference>
          <reference field="0" count="1" selected="0">
            <x v="17"/>
          </reference>
          <reference field="2" count="1" selected="0">
            <x v="1"/>
          </reference>
        </references>
      </pivotArea>
    </chartFormat>
    <chartFormat chart="2" format="55">
      <pivotArea type="data" outline="0" fieldPosition="0">
        <references count="3">
          <reference field="4294967294" count="1" selected="0">
            <x v="0"/>
          </reference>
          <reference field="0" count="1" selected="0">
            <x v="18"/>
          </reference>
          <reference field="2" count="1" selected="0">
            <x v="1"/>
          </reference>
        </references>
      </pivotArea>
    </chartFormat>
    <chartFormat chart="2" format="56">
      <pivotArea type="data" outline="0" fieldPosition="0">
        <references count="3">
          <reference field="4294967294" count="1" selected="0">
            <x v="0"/>
          </reference>
          <reference field="0" count="1" selected="0">
            <x v="19"/>
          </reference>
          <reference field="2" count="1" selected="0">
            <x v="1"/>
          </reference>
        </references>
      </pivotArea>
    </chartFormat>
    <chartFormat chart="2" format="57">
      <pivotArea type="data" outline="0" fieldPosition="0">
        <references count="3">
          <reference field="4294967294" count="1" selected="0">
            <x v="0"/>
          </reference>
          <reference field="0" count="1" selected="0">
            <x v="20"/>
          </reference>
          <reference field="2" count="1" selected="0">
            <x v="1"/>
          </reference>
        </references>
      </pivotArea>
    </chartFormat>
    <chartFormat chart="2" format="58">
      <pivotArea type="data" outline="0" fieldPosition="0">
        <references count="3">
          <reference field="4294967294" count="1" selected="0">
            <x v="0"/>
          </reference>
          <reference field="0" count="1" selected="0">
            <x v="21"/>
          </reference>
          <reference field="2" count="1" selected="0">
            <x v="1"/>
          </reference>
        </references>
      </pivotArea>
    </chartFormat>
    <chartFormat chart="2" format="59">
      <pivotArea type="data" outline="0" fieldPosition="0">
        <references count="3">
          <reference field="4294967294" count="1" selected="0">
            <x v="0"/>
          </reference>
          <reference field="0" count="1" selected="0">
            <x v="22"/>
          </reference>
          <reference field="2" count="1" selected="0">
            <x v="1"/>
          </reference>
        </references>
      </pivotArea>
    </chartFormat>
    <chartFormat chart="2" format="60">
      <pivotArea type="data" outline="0" fieldPosition="0">
        <references count="3">
          <reference field="4294967294" count="1" selected="0">
            <x v="0"/>
          </reference>
          <reference field="0" count="1" selected="0">
            <x v="23"/>
          </reference>
          <reference field="2" count="1" selected="0">
            <x v="1"/>
          </reference>
        </references>
      </pivotArea>
    </chartFormat>
    <chartFormat chart="2" format="61">
      <pivotArea type="data" outline="0" fieldPosition="0">
        <references count="3">
          <reference field="4294967294" count="1" selected="0">
            <x v="0"/>
          </reference>
          <reference field="0" count="1" selected="0">
            <x v="24"/>
          </reference>
          <reference field="2" count="1" selected="0">
            <x v="1"/>
          </reference>
        </references>
      </pivotArea>
    </chartFormat>
    <chartFormat chart="2" format="62">
      <pivotArea type="data" outline="0" fieldPosition="0">
        <references count="3">
          <reference field="4294967294" count="1" selected="0">
            <x v="0"/>
          </reference>
          <reference field="0" count="1" selected="0">
            <x v="25"/>
          </reference>
          <reference field="2" count="1" selected="0">
            <x v="1"/>
          </reference>
        </references>
      </pivotArea>
    </chartFormat>
    <chartFormat chart="2" format="63">
      <pivotArea type="data" outline="0" fieldPosition="0">
        <references count="3">
          <reference field="4294967294" count="1" selected="0">
            <x v="0"/>
          </reference>
          <reference field="0" count="1" selected="0">
            <x v="26"/>
          </reference>
          <reference field="2" count="1" selected="0">
            <x v="1"/>
          </reference>
        </references>
      </pivotArea>
    </chartFormat>
    <chartFormat chart="2" format="64">
      <pivotArea type="data" outline="0" fieldPosition="0">
        <references count="3">
          <reference field="4294967294" count="1" selected="0">
            <x v="0"/>
          </reference>
          <reference field="0" count="1" selected="0">
            <x v="27"/>
          </reference>
          <reference field="2" count="1" selected="0">
            <x v="1"/>
          </reference>
        </references>
      </pivotArea>
    </chartFormat>
    <chartFormat chart="2" format="65">
      <pivotArea type="data" outline="0" fieldPosition="0">
        <references count="3">
          <reference field="4294967294" count="1" selected="0">
            <x v="0"/>
          </reference>
          <reference field="0" count="1" selected="0">
            <x v="28"/>
          </reference>
          <reference field="2" count="1" selected="0">
            <x v="1"/>
          </reference>
        </references>
      </pivotArea>
    </chartFormat>
    <chartFormat chart="2" format="66">
      <pivotArea type="data" outline="0" fieldPosition="0">
        <references count="3">
          <reference field="4294967294" count="1" selected="0">
            <x v="0"/>
          </reference>
          <reference field="0" count="1" selected="0">
            <x v="29"/>
          </reference>
          <reference field="2" count="1" selected="0">
            <x v="1"/>
          </reference>
        </references>
      </pivotArea>
    </chartFormat>
    <chartFormat chart="2" format="67">
      <pivotArea type="data" outline="0" fieldPosition="0">
        <references count="3">
          <reference field="4294967294" count="1" selected="0">
            <x v="0"/>
          </reference>
          <reference field="0" count="1" selected="0">
            <x v="30"/>
          </reference>
          <reference field="2" count="1" selected="0">
            <x v="1"/>
          </reference>
        </references>
      </pivotArea>
    </chartFormat>
    <chartFormat chart="2" format="68">
      <pivotArea type="data" outline="0" fieldPosition="0">
        <references count="3">
          <reference field="4294967294" count="1" selected="0">
            <x v="0"/>
          </reference>
          <reference field="0" count="1" selected="0">
            <x v="0"/>
          </reference>
          <reference field="2" count="1" selected="0">
            <x v="2"/>
          </reference>
        </references>
      </pivotArea>
    </chartFormat>
    <chartFormat chart="2" format="69">
      <pivotArea type="data" outline="0" fieldPosition="0">
        <references count="3">
          <reference field="4294967294" count="1" selected="0">
            <x v="0"/>
          </reference>
          <reference field="0" count="1" selected="0">
            <x v="1"/>
          </reference>
          <reference field="2" count="1" selected="0">
            <x v="2"/>
          </reference>
        </references>
      </pivotArea>
    </chartFormat>
    <chartFormat chart="2" format="70">
      <pivotArea type="data" outline="0" fieldPosition="0">
        <references count="3">
          <reference field="4294967294" count="1" selected="0">
            <x v="0"/>
          </reference>
          <reference field="0" count="1" selected="0">
            <x v="2"/>
          </reference>
          <reference field="2" count="1" selected="0">
            <x v="2"/>
          </reference>
        </references>
      </pivotArea>
    </chartFormat>
    <chartFormat chart="2" format="71">
      <pivotArea type="data" outline="0" fieldPosition="0">
        <references count="3">
          <reference field="4294967294" count="1" selected="0">
            <x v="0"/>
          </reference>
          <reference field="0" count="1" selected="0">
            <x v="3"/>
          </reference>
          <reference field="2" count="1" selected="0">
            <x v="2"/>
          </reference>
        </references>
      </pivotArea>
    </chartFormat>
    <chartFormat chart="2" format="72">
      <pivotArea type="data" outline="0" fieldPosition="0">
        <references count="3">
          <reference field="4294967294" count="1" selected="0">
            <x v="0"/>
          </reference>
          <reference field="0" count="1" selected="0">
            <x v="4"/>
          </reference>
          <reference field="2" count="1" selected="0">
            <x v="2"/>
          </reference>
        </references>
      </pivotArea>
    </chartFormat>
    <chartFormat chart="2" format="73">
      <pivotArea type="data" outline="0" fieldPosition="0">
        <references count="3">
          <reference field="4294967294" count="1" selected="0">
            <x v="0"/>
          </reference>
          <reference field="0" count="1" selected="0">
            <x v="5"/>
          </reference>
          <reference field="2" count="1" selected="0">
            <x v="2"/>
          </reference>
        </references>
      </pivotArea>
    </chartFormat>
    <chartFormat chart="2" format="74">
      <pivotArea type="data" outline="0" fieldPosition="0">
        <references count="3">
          <reference field="4294967294" count="1" selected="0">
            <x v="0"/>
          </reference>
          <reference field="0" count="1" selected="0">
            <x v="6"/>
          </reference>
          <reference field="2" count="1" selected="0">
            <x v="2"/>
          </reference>
        </references>
      </pivotArea>
    </chartFormat>
    <chartFormat chart="2" format="75">
      <pivotArea type="data" outline="0" fieldPosition="0">
        <references count="3">
          <reference field="4294967294" count="1" selected="0">
            <x v="0"/>
          </reference>
          <reference field="0" count="1" selected="0">
            <x v="7"/>
          </reference>
          <reference field="2" count="1" selected="0">
            <x v="2"/>
          </reference>
        </references>
      </pivotArea>
    </chartFormat>
    <chartFormat chart="2" format="76">
      <pivotArea type="data" outline="0" fieldPosition="0">
        <references count="3">
          <reference field="4294967294" count="1" selected="0">
            <x v="0"/>
          </reference>
          <reference field="0" count="1" selected="0">
            <x v="8"/>
          </reference>
          <reference field="2" count="1" selected="0">
            <x v="2"/>
          </reference>
        </references>
      </pivotArea>
    </chartFormat>
    <chartFormat chart="2" format="77">
      <pivotArea type="data" outline="0" fieldPosition="0">
        <references count="3">
          <reference field="4294967294" count="1" selected="0">
            <x v="0"/>
          </reference>
          <reference field="0" count="1" selected="0">
            <x v="9"/>
          </reference>
          <reference field="2" count="1" selected="0">
            <x v="2"/>
          </reference>
        </references>
      </pivotArea>
    </chartFormat>
    <chartFormat chart="2" format="78">
      <pivotArea type="data" outline="0" fieldPosition="0">
        <references count="3">
          <reference field="4294967294" count="1" selected="0">
            <x v="0"/>
          </reference>
          <reference field="0" count="1" selected="0">
            <x v="10"/>
          </reference>
          <reference field="2" count="1" selected="0">
            <x v="2"/>
          </reference>
        </references>
      </pivotArea>
    </chartFormat>
    <chartFormat chart="2" format="79">
      <pivotArea type="data" outline="0" fieldPosition="0">
        <references count="3">
          <reference field="4294967294" count="1" selected="0">
            <x v="0"/>
          </reference>
          <reference field="0" count="1" selected="0">
            <x v="11"/>
          </reference>
          <reference field="2" count="1" selected="0">
            <x v="2"/>
          </reference>
        </references>
      </pivotArea>
    </chartFormat>
    <chartFormat chart="2" format="80">
      <pivotArea type="data" outline="0" fieldPosition="0">
        <references count="3">
          <reference field="4294967294" count="1" selected="0">
            <x v="0"/>
          </reference>
          <reference field="0" count="1" selected="0">
            <x v="12"/>
          </reference>
          <reference field="2" count="1" selected="0">
            <x v="2"/>
          </reference>
        </references>
      </pivotArea>
    </chartFormat>
    <chartFormat chart="2" format="81">
      <pivotArea type="data" outline="0" fieldPosition="0">
        <references count="3">
          <reference field="4294967294" count="1" selected="0">
            <x v="0"/>
          </reference>
          <reference field="0" count="1" selected="0">
            <x v="13"/>
          </reference>
          <reference field="2" count="1" selected="0">
            <x v="2"/>
          </reference>
        </references>
      </pivotArea>
    </chartFormat>
    <chartFormat chart="2" format="82">
      <pivotArea type="data" outline="0" fieldPosition="0">
        <references count="3">
          <reference field="4294967294" count="1" selected="0">
            <x v="0"/>
          </reference>
          <reference field="0" count="1" selected="0">
            <x v="14"/>
          </reference>
          <reference field="2" count="1" selected="0">
            <x v="2"/>
          </reference>
        </references>
      </pivotArea>
    </chartFormat>
    <chartFormat chart="2" format="83">
      <pivotArea type="data" outline="0" fieldPosition="0">
        <references count="3">
          <reference field="4294967294" count="1" selected="0">
            <x v="0"/>
          </reference>
          <reference field="0" count="1" selected="0">
            <x v="15"/>
          </reference>
          <reference field="2" count="1" selected="0">
            <x v="2"/>
          </reference>
        </references>
      </pivotArea>
    </chartFormat>
    <chartFormat chart="2" format="84">
      <pivotArea type="data" outline="0" fieldPosition="0">
        <references count="3">
          <reference field="4294967294" count="1" selected="0">
            <x v="0"/>
          </reference>
          <reference field="0" count="1" selected="0">
            <x v="16"/>
          </reference>
          <reference field="2" count="1" selected="0">
            <x v="2"/>
          </reference>
        </references>
      </pivotArea>
    </chartFormat>
    <chartFormat chart="2" format="85">
      <pivotArea type="data" outline="0" fieldPosition="0">
        <references count="3">
          <reference field="4294967294" count="1" selected="0">
            <x v="0"/>
          </reference>
          <reference field="0" count="1" selected="0">
            <x v="17"/>
          </reference>
          <reference field="2" count="1" selected="0">
            <x v="2"/>
          </reference>
        </references>
      </pivotArea>
    </chartFormat>
    <chartFormat chart="2" format="86">
      <pivotArea type="data" outline="0" fieldPosition="0">
        <references count="3">
          <reference field="4294967294" count="1" selected="0">
            <x v="0"/>
          </reference>
          <reference field="0" count="1" selected="0">
            <x v="18"/>
          </reference>
          <reference field="2" count="1" selected="0">
            <x v="2"/>
          </reference>
        </references>
      </pivotArea>
    </chartFormat>
    <chartFormat chart="2" format="87">
      <pivotArea type="data" outline="0" fieldPosition="0">
        <references count="3">
          <reference field="4294967294" count="1" selected="0">
            <x v="0"/>
          </reference>
          <reference field="0" count="1" selected="0">
            <x v="19"/>
          </reference>
          <reference field="2" count="1" selected="0">
            <x v="2"/>
          </reference>
        </references>
      </pivotArea>
    </chartFormat>
    <chartFormat chart="2" format="88">
      <pivotArea type="data" outline="0" fieldPosition="0">
        <references count="3">
          <reference field="4294967294" count="1" selected="0">
            <x v="0"/>
          </reference>
          <reference field="0" count="1" selected="0">
            <x v="20"/>
          </reference>
          <reference field="2" count="1" selected="0">
            <x v="2"/>
          </reference>
        </references>
      </pivotArea>
    </chartFormat>
    <chartFormat chart="2" format="89">
      <pivotArea type="data" outline="0" fieldPosition="0">
        <references count="3">
          <reference field="4294967294" count="1" selected="0">
            <x v="0"/>
          </reference>
          <reference field="0" count="1" selected="0">
            <x v="21"/>
          </reference>
          <reference field="2" count="1" selected="0">
            <x v="2"/>
          </reference>
        </references>
      </pivotArea>
    </chartFormat>
    <chartFormat chart="2" format="90">
      <pivotArea type="data" outline="0" fieldPosition="0">
        <references count="3">
          <reference field="4294967294" count="1" selected="0">
            <x v="0"/>
          </reference>
          <reference field="0" count="1" selected="0">
            <x v="22"/>
          </reference>
          <reference field="2" count="1" selected="0">
            <x v="2"/>
          </reference>
        </references>
      </pivotArea>
    </chartFormat>
    <chartFormat chart="2" format="91">
      <pivotArea type="data" outline="0" fieldPosition="0">
        <references count="3">
          <reference field="4294967294" count="1" selected="0">
            <x v="0"/>
          </reference>
          <reference field="0" count="1" selected="0">
            <x v="23"/>
          </reference>
          <reference field="2" count="1" selected="0">
            <x v="2"/>
          </reference>
        </references>
      </pivotArea>
    </chartFormat>
    <chartFormat chart="2" format="92">
      <pivotArea type="data" outline="0" fieldPosition="0">
        <references count="3">
          <reference field="4294967294" count="1" selected="0">
            <x v="0"/>
          </reference>
          <reference field="0" count="1" selected="0">
            <x v="24"/>
          </reference>
          <reference field="2" count="1" selected="0">
            <x v="2"/>
          </reference>
        </references>
      </pivotArea>
    </chartFormat>
    <chartFormat chart="2" format="93">
      <pivotArea type="data" outline="0" fieldPosition="0">
        <references count="3">
          <reference field="4294967294" count="1" selected="0">
            <x v="0"/>
          </reference>
          <reference field="0" count="1" selected="0">
            <x v="25"/>
          </reference>
          <reference field="2" count="1" selected="0">
            <x v="2"/>
          </reference>
        </references>
      </pivotArea>
    </chartFormat>
    <chartFormat chart="2" format="94">
      <pivotArea type="data" outline="0" fieldPosition="0">
        <references count="3">
          <reference field="4294967294" count="1" selected="0">
            <x v="0"/>
          </reference>
          <reference field="0" count="1" selected="0">
            <x v="26"/>
          </reference>
          <reference field="2" count="1" selected="0">
            <x v="2"/>
          </reference>
        </references>
      </pivotArea>
    </chartFormat>
    <chartFormat chart="2" format="95">
      <pivotArea type="data" outline="0" fieldPosition="0">
        <references count="3">
          <reference field="4294967294" count="1" selected="0">
            <x v="0"/>
          </reference>
          <reference field="0" count="1" selected="0">
            <x v="27"/>
          </reference>
          <reference field="2" count="1" selected="0">
            <x v="2"/>
          </reference>
        </references>
      </pivotArea>
    </chartFormat>
    <chartFormat chart="2" format="96">
      <pivotArea type="data" outline="0" fieldPosition="0">
        <references count="3">
          <reference field="4294967294" count="1" selected="0">
            <x v="0"/>
          </reference>
          <reference field="0" count="1" selected="0">
            <x v="28"/>
          </reference>
          <reference field="2" count="1" selected="0">
            <x v="2"/>
          </reference>
        </references>
      </pivotArea>
    </chartFormat>
    <chartFormat chart="2" format="97">
      <pivotArea type="data" outline="0" fieldPosition="0">
        <references count="3">
          <reference field="4294967294" count="1" selected="0">
            <x v="0"/>
          </reference>
          <reference field="0" count="1" selected="0">
            <x v="29"/>
          </reference>
          <reference field="2" count="1" selected="0">
            <x v="2"/>
          </reference>
        </references>
      </pivotArea>
    </chartFormat>
    <chartFormat chart="2" format="98">
      <pivotArea type="data" outline="0" fieldPosition="0">
        <references count="3">
          <reference field="4294967294" count="1" selected="0">
            <x v="0"/>
          </reference>
          <reference field="0" count="1" selected="0">
            <x v="30"/>
          </reference>
          <reference field="2" count="1" selected="0">
            <x v="2"/>
          </reference>
        </references>
      </pivotArea>
    </chartFormat>
    <chartFormat chart="2" format="99">
      <pivotArea type="data" outline="0" fieldPosition="0">
        <references count="3">
          <reference field="4294967294" count="1" selected="0">
            <x v="0"/>
          </reference>
          <reference field="0" count="1" selected="0">
            <x v="0"/>
          </reference>
          <reference field="2" count="1" selected="0">
            <x v="3"/>
          </reference>
        </references>
      </pivotArea>
    </chartFormat>
    <chartFormat chart="2" format="100">
      <pivotArea type="data" outline="0" fieldPosition="0">
        <references count="3">
          <reference field="4294967294" count="1" selected="0">
            <x v="0"/>
          </reference>
          <reference field="0" count="1" selected="0">
            <x v="1"/>
          </reference>
          <reference field="2" count="1" selected="0">
            <x v="3"/>
          </reference>
        </references>
      </pivotArea>
    </chartFormat>
    <chartFormat chart="2" format="101">
      <pivotArea type="data" outline="0" fieldPosition="0">
        <references count="3">
          <reference field="4294967294" count="1" selected="0">
            <x v="0"/>
          </reference>
          <reference field="0" count="1" selected="0">
            <x v="2"/>
          </reference>
          <reference field="2" count="1" selected="0">
            <x v="3"/>
          </reference>
        </references>
      </pivotArea>
    </chartFormat>
    <chartFormat chart="2" format="102">
      <pivotArea type="data" outline="0" fieldPosition="0">
        <references count="3">
          <reference field="4294967294" count="1" selected="0">
            <x v="0"/>
          </reference>
          <reference field="0" count="1" selected="0">
            <x v="3"/>
          </reference>
          <reference field="2" count="1" selected="0">
            <x v="3"/>
          </reference>
        </references>
      </pivotArea>
    </chartFormat>
    <chartFormat chart="2" format="103">
      <pivotArea type="data" outline="0" fieldPosition="0">
        <references count="3">
          <reference field="4294967294" count="1" selected="0">
            <x v="0"/>
          </reference>
          <reference field="0" count="1" selected="0">
            <x v="4"/>
          </reference>
          <reference field="2" count="1" selected="0">
            <x v="3"/>
          </reference>
        </references>
      </pivotArea>
    </chartFormat>
    <chartFormat chart="2" format="104">
      <pivotArea type="data" outline="0" fieldPosition="0">
        <references count="3">
          <reference field="4294967294" count="1" selected="0">
            <x v="0"/>
          </reference>
          <reference field="0" count="1" selected="0">
            <x v="5"/>
          </reference>
          <reference field="2" count="1" selected="0">
            <x v="3"/>
          </reference>
        </references>
      </pivotArea>
    </chartFormat>
    <chartFormat chart="2" format="105">
      <pivotArea type="data" outline="0" fieldPosition="0">
        <references count="3">
          <reference field="4294967294" count="1" selected="0">
            <x v="0"/>
          </reference>
          <reference field="0" count="1" selected="0">
            <x v="6"/>
          </reference>
          <reference field="2" count="1" selected="0">
            <x v="3"/>
          </reference>
        </references>
      </pivotArea>
    </chartFormat>
    <chartFormat chart="2" format="106">
      <pivotArea type="data" outline="0" fieldPosition="0">
        <references count="3">
          <reference field="4294967294" count="1" selected="0">
            <x v="0"/>
          </reference>
          <reference field="0" count="1" selected="0">
            <x v="7"/>
          </reference>
          <reference field="2" count="1" selected="0">
            <x v="3"/>
          </reference>
        </references>
      </pivotArea>
    </chartFormat>
    <chartFormat chart="2" format="107">
      <pivotArea type="data" outline="0" fieldPosition="0">
        <references count="3">
          <reference field="4294967294" count="1" selected="0">
            <x v="0"/>
          </reference>
          <reference field="0" count="1" selected="0">
            <x v="8"/>
          </reference>
          <reference field="2" count="1" selected="0">
            <x v="3"/>
          </reference>
        </references>
      </pivotArea>
    </chartFormat>
    <chartFormat chart="2" format="108">
      <pivotArea type="data" outline="0" fieldPosition="0">
        <references count="3">
          <reference field="4294967294" count="1" selected="0">
            <x v="0"/>
          </reference>
          <reference field="0" count="1" selected="0">
            <x v="9"/>
          </reference>
          <reference field="2" count="1" selected="0">
            <x v="3"/>
          </reference>
        </references>
      </pivotArea>
    </chartFormat>
    <chartFormat chart="2" format="109">
      <pivotArea type="data" outline="0" fieldPosition="0">
        <references count="3">
          <reference field="4294967294" count="1" selected="0">
            <x v="0"/>
          </reference>
          <reference field="0" count="1" selected="0">
            <x v="10"/>
          </reference>
          <reference field="2" count="1" selected="0">
            <x v="3"/>
          </reference>
        </references>
      </pivotArea>
    </chartFormat>
    <chartFormat chart="2" format="110">
      <pivotArea type="data" outline="0" fieldPosition="0">
        <references count="3">
          <reference field="4294967294" count="1" selected="0">
            <x v="0"/>
          </reference>
          <reference field="0" count="1" selected="0">
            <x v="11"/>
          </reference>
          <reference field="2" count="1" selected="0">
            <x v="3"/>
          </reference>
        </references>
      </pivotArea>
    </chartFormat>
    <chartFormat chart="2" format="111">
      <pivotArea type="data" outline="0" fieldPosition="0">
        <references count="3">
          <reference field="4294967294" count="1" selected="0">
            <x v="0"/>
          </reference>
          <reference field="0" count="1" selected="0">
            <x v="12"/>
          </reference>
          <reference field="2" count="1" selected="0">
            <x v="3"/>
          </reference>
        </references>
      </pivotArea>
    </chartFormat>
    <chartFormat chart="2" format="112">
      <pivotArea type="data" outline="0" fieldPosition="0">
        <references count="3">
          <reference field="4294967294" count="1" selected="0">
            <x v="0"/>
          </reference>
          <reference field="0" count="1" selected="0">
            <x v="13"/>
          </reference>
          <reference field="2" count="1" selected="0">
            <x v="3"/>
          </reference>
        </references>
      </pivotArea>
    </chartFormat>
    <chartFormat chart="2" format="113">
      <pivotArea type="data" outline="0" fieldPosition="0">
        <references count="3">
          <reference field="4294967294" count="1" selected="0">
            <x v="0"/>
          </reference>
          <reference field="0" count="1" selected="0">
            <x v="14"/>
          </reference>
          <reference field="2" count="1" selected="0">
            <x v="3"/>
          </reference>
        </references>
      </pivotArea>
    </chartFormat>
    <chartFormat chart="2" format="114">
      <pivotArea type="data" outline="0" fieldPosition="0">
        <references count="3">
          <reference field="4294967294" count="1" selected="0">
            <x v="0"/>
          </reference>
          <reference field="0" count="1" selected="0">
            <x v="15"/>
          </reference>
          <reference field="2" count="1" selected="0">
            <x v="3"/>
          </reference>
        </references>
      </pivotArea>
    </chartFormat>
    <chartFormat chart="2" format="115">
      <pivotArea type="data" outline="0" fieldPosition="0">
        <references count="3">
          <reference field="4294967294" count="1" selected="0">
            <x v="0"/>
          </reference>
          <reference field="0" count="1" selected="0">
            <x v="16"/>
          </reference>
          <reference field="2" count="1" selected="0">
            <x v="3"/>
          </reference>
        </references>
      </pivotArea>
    </chartFormat>
    <chartFormat chart="2" format="116">
      <pivotArea type="data" outline="0" fieldPosition="0">
        <references count="3">
          <reference field="4294967294" count="1" selected="0">
            <x v="0"/>
          </reference>
          <reference field="0" count="1" selected="0">
            <x v="17"/>
          </reference>
          <reference field="2" count="1" selected="0">
            <x v="3"/>
          </reference>
        </references>
      </pivotArea>
    </chartFormat>
    <chartFormat chart="2" format="117">
      <pivotArea type="data" outline="0" fieldPosition="0">
        <references count="3">
          <reference field="4294967294" count="1" selected="0">
            <x v="0"/>
          </reference>
          <reference field="0" count="1" selected="0">
            <x v="18"/>
          </reference>
          <reference field="2" count="1" selected="0">
            <x v="3"/>
          </reference>
        </references>
      </pivotArea>
    </chartFormat>
    <chartFormat chart="2" format="118">
      <pivotArea type="data" outline="0" fieldPosition="0">
        <references count="3">
          <reference field="4294967294" count="1" selected="0">
            <x v="0"/>
          </reference>
          <reference field="0" count="1" selected="0">
            <x v="19"/>
          </reference>
          <reference field="2" count="1" selected="0">
            <x v="3"/>
          </reference>
        </references>
      </pivotArea>
    </chartFormat>
    <chartFormat chart="2" format="119">
      <pivotArea type="data" outline="0" fieldPosition="0">
        <references count="3">
          <reference field="4294967294" count="1" selected="0">
            <x v="0"/>
          </reference>
          <reference field="0" count="1" selected="0">
            <x v="20"/>
          </reference>
          <reference field="2" count="1" selected="0">
            <x v="3"/>
          </reference>
        </references>
      </pivotArea>
    </chartFormat>
    <chartFormat chart="2" format="120">
      <pivotArea type="data" outline="0" fieldPosition="0">
        <references count="3">
          <reference field="4294967294" count="1" selected="0">
            <x v="0"/>
          </reference>
          <reference field="0" count="1" selected="0">
            <x v="21"/>
          </reference>
          <reference field="2" count="1" selected="0">
            <x v="3"/>
          </reference>
        </references>
      </pivotArea>
    </chartFormat>
    <chartFormat chart="2" format="121">
      <pivotArea type="data" outline="0" fieldPosition="0">
        <references count="3">
          <reference field="4294967294" count="1" selected="0">
            <x v="0"/>
          </reference>
          <reference field="0" count="1" selected="0">
            <x v="22"/>
          </reference>
          <reference field="2" count="1" selected="0">
            <x v="3"/>
          </reference>
        </references>
      </pivotArea>
    </chartFormat>
    <chartFormat chart="2" format="122">
      <pivotArea type="data" outline="0" fieldPosition="0">
        <references count="3">
          <reference field="4294967294" count="1" selected="0">
            <x v="0"/>
          </reference>
          <reference field="0" count="1" selected="0">
            <x v="23"/>
          </reference>
          <reference field="2" count="1" selected="0">
            <x v="3"/>
          </reference>
        </references>
      </pivotArea>
    </chartFormat>
    <chartFormat chart="2" format="123">
      <pivotArea type="data" outline="0" fieldPosition="0">
        <references count="3">
          <reference field="4294967294" count="1" selected="0">
            <x v="0"/>
          </reference>
          <reference field="0" count="1" selected="0">
            <x v="24"/>
          </reference>
          <reference field="2" count="1" selected="0">
            <x v="3"/>
          </reference>
        </references>
      </pivotArea>
    </chartFormat>
    <chartFormat chart="2" format="124">
      <pivotArea type="data" outline="0" fieldPosition="0">
        <references count="3">
          <reference field="4294967294" count="1" selected="0">
            <x v="0"/>
          </reference>
          <reference field="0" count="1" selected="0">
            <x v="25"/>
          </reference>
          <reference field="2" count="1" selected="0">
            <x v="3"/>
          </reference>
        </references>
      </pivotArea>
    </chartFormat>
    <chartFormat chart="2" format="125">
      <pivotArea type="data" outline="0" fieldPosition="0">
        <references count="3">
          <reference field="4294967294" count="1" selected="0">
            <x v="0"/>
          </reference>
          <reference field="0" count="1" selected="0">
            <x v="26"/>
          </reference>
          <reference field="2" count="1" selected="0">
            <x v="3"/>
          </reference>
        </references>
      </pivotArea>
    </chartFormat>
    <chartFormat chart="2" format="126">
      <pivotArea type="data" outline="0" fieldPosition="0">
        <references count="3">
          <reference field="4294967294" count="1" selected="0">
            <x v="0"/>
          </reference>
          <reference field="0" count="1" selected="0">
            <x v="27"/>
          </reference>
          <reference field="2" count="1" selected="0">
            <x v="3"/>
          </reference>
        </references>
      </pivotArea>
    </chartFormat>
    <chartFormat chart="2" format="127">
      <pivotArea type="data" outline="0" fieldPosition="0">
        <references count="3">
          <reference field="4294967294" count="1" selected="0">
            <x v="0"/>
          </reference>
          <reference field="0" count="1" selected="0">
            <x v="28"/>
          </reference>
          <reference field="2" count="1" selected="0">
            <x v="3"/>
          </reference>
        </references>
      </pivotArea>
    </chartFormat>
    <chartFormat chart="2" format="128">
      <pivotArea type="data" outline="0" fieldPosition="0">
        <references count="3">
          <reference field="4294967294" count="1" selected="0">
            <x v="0"/>
          </reference>
          <reference field="0" count="1" selected="0">
            <x v="29"/>
          </reference>
          <reference field="2" count="1" selected="0">
            <x v="3"/>
          </reference>
        </references>
      </pivotArea>
    </chartFormat>
    <chartFormat chart="2" format="129">
      <pivotArea type="data" outline="0" fieldPosition="0">
        <references count="3">
          <reference field="4294967294" count="1" selected="0">
            <x v="0"/>
          </reference>
          <reference field="0" count="1" selected="0">
            <x v="30"/>
          </reference>
          <reference field="2" count="1" selected="0">
            <x v="3"/>
          </reference>
        </references>
      </pivotArea>
    </chartFormat>
    <chartFormat chart="2" format="130">
      <pivotArea type="data" outline="0" fieldPosition="0">
        <references count="3">
          <reference field="4294967294" count="1" selected="0">
            <x v="0"/>
          </reference>
          <reference field="0" count="1" selected="0">
            <x v="0"/>
          </reference>
          <reference field="2" count="1" selected="0">
            <x v="4"/>
          </reference>
        </references>
      </pivotArea>
    </chartFormat>
    <chartFormat chart="2" format="131">
      <pivotArea type="data" outline="0" fieldPosition="0">
        <references count="3">
          <reference field="4294967294" count="1" selected="0">
            <x v="0"/>
          </reference>
          <reference field="0" count="1" selected="0">
            <x v="1"/>
          </reference>
          <reference field="2" count="1" selected="0">
            <x v="4"/>
          </reference>
        </references>
      </pivotArea>
    </chartFormat>
    <chartFormat chart="2" format="132">
      <pivotArea type="data" outline="0" fieldPosition="0">
        <references count="3">
          <reference field="4294967294" count="1" selected="0">
            <x v="0"/>
          </reference>
          <reference field="0" count="1" selected="0">
            <x v="2"/>
          </reference>
          <reference field="2" count="1" selected="0">
            <x v="4"/>
          </reference>
        </references>
      </pivotArea>
    </chartFormat>
    <chartFormat chart="2" format="133">
      <pivotArea type="data" outline="0" fieldPosition="0">
        <references count="3">
          <reference field="4294967294" count="1" selected="0">
            <x v="0"/>
          </reference>
          <reference field="0" count="1" selected="0">
            <x v="3"/>
          </reference>
          <reference field="2" count="1" selected="0">
            <x v="4"/>
          </reference>
        </references>
      </pivotArea>
    </chartFormat>
    <chartFormat chart="2" format="134">
      <pivotArea type="data" outline="0" fieldPosition="0">
        <references count="3">
          <reference field="4294967294" count="1" selected="0">
            <x v="0"/>
          </reference>
          <reference field="0" count="1" selected="0">
            <x v="4"/>
          </reference>
          <reference field="2" count="1" selected="0">
            <x v="4"/>
          </reference>
        </references>
      </pivotArea>
    </chartFormat>
    <chartFormat chart="2" format="135">
      <pivotArea type="data" outline="0" fieldPosition="0">
        <references count="3">
          <reference field="4294967294" count="1" selected="0">
            <x v="0"/>
          </reference>
          <reference field="0" count="1" selected="0">
            <x v="5"/>
          </reference>
          <reference field="2" count="1" selected="0">
            <x v="4"/>
          </reference>
        </references>
      </pivotArea>
    </chartFormat>
    <chartFormat chart="2" format="136">
      <pivotArea type="data" outline="0" fieldPosition="0">
        <references count="3">
          <reference field="4294967294" count="1" selected="0">
            <x v="0"/>
          </reference>
          <reference field="0" count="1" selected="0">
            <x v="6"/>
          </reference>
          <reference field="2" count="1" selected="0">
            <x v="4"/>
          </reference>
        </references>
      </pivotArea>
    </chartFormat>
    <chartFormat chart="2" format="137">
      <pivotArea type="data" outline="0" fieldPosition="0">
        <references count="3">
          <reference field="4294967294" count="1" selected="0">
            <x v="0"/>
          </reference>
          <reference field="0" count="1" selected="0">
            <x v="7"/>
          </reference>
          <reference field="2" count="1" selected="0">
            <x v="4"/>
          </reference>
        </references>
      </pivotArea>
    </chartFormat>
    <chartFormat chart="2" format="138">
      <pivotArea type="data" outline="0" fieldPosition="0">
        <references count="3">
          <reference field="4294967294" count="1" selected="0">
            <x v="0"/>
          </reference>
          <reference field="0" count="1" selected="0">
            <x v="8"/>
          </reference>
          <reference field="2" count="1" selected="0">
            <x v="4"/>
          </reference>
        </references>
      </pivotArea>
    </chartFormat>
    <chartFormat chart="2" format="139">
      <pivotArea type="data" outline="0" fieldPosition="0">
        <references count="3">
          <reference field="4294967294" count="1" selected="0">
            <x v="0"/>
          </reference>
          <reference field="0" count="1" selected="0">
            <x v="9"/>
          </reference>
          <reference field="2" count="1" selected="0">
            <x v="4"/>
          </reference>
        </references>
      </pivotArea>
    </chartFormat>
    <chartFormat chart="2" format="140">
      <pivotArea type="data" outline="0" fieldPosition="0">
        <references count="3">
          <reference field="4294967294" count="1" selected="0">
            <x v="0"/>
          </reference>
          <reference field="0" count="1" selected="0">
            <x v="10"/>
          </reference>
          <reference field="2" count="1" selected="0">
            <x v="4"/>
          </reference>
        </references>
      </pivotArea>
    </chartFormat>
    <chartFormat chart="2" format="141">
      <pivotArea type="data" outline="0" fieldPosition="0">
        <references count="3">
          <reference field="4294967294" count="1" selected="0">
            <x v="0"/>
          </reference>
          <reference field="0" count="1" selected="0">
            <x v="11"/>
          </reference>
          <reference field="2" count="1" selected="0">
            <x v="4"/>
          </reference>
        </references>
      </pivotArea>
    </chartFormat>
    <chartFormat chart="2" format="142">
      <pivotArea type="data" outline="0" fieldPosition="0">
        <references count="3">
          <reference field="4294967294" count="1" selected="0">
            <x v="0"/>
          </reference>
          <reference field="0" count="1" selected="0">
            <x v="12"/>
          </reference>
          <reference field="2" count="1" selected="0">
            <x v="4"/>
          </reference>
        </references>
      </pivotArea>
    </chartFormat>
    <chartFormat chart="2" format="143">
      <pivotArea type="data" outline="0" fieldPosition="0">
        <references count="3">
          <reference field="4294967294" count="1" selected="0">
            <x v="0"/>
          </reference>
          <reference field="0" count="1" selected="0">
            <x v="13"/>
          </reference>
          <reference field="2" count="1" selected="0">
            <x v="4"/>
          </reference>
        </references>
      </pivotArea>
    </chartFormat>
    <chartFormat chart="2" format="144">
      <pivotArea type="data" outline="0" fieldPosition="0">
        <references count="3">
          <reference field="4294967294" count="1" selected="0">
            <x v="0"/>
          </reference>
          <reference field="0" count="1" selected="0">
            <x v="14"/>
          </reference>
          <reference field="2" count="1" selected="0">
            <x v="4"/>
          </reference>
        </references>
      </pivotArea>
    </chartFormat>
    <chartFormat chart="2" format="145">
      <pivotArea type="data" outline="0" fieldPosition="0">
        <references count="3">
          <reference field="4294967294" count="1" selected="0">
            <x v="0"/>
          </reference>
          <reference field="0" count="1" selected="0">
            <x v="15"/>
          </reference>
          <reference field="2" count="1" selected="0">
            <x v="4"/>
          </reference>
        </references>
      </pivotArea>
    </chartFormat>
    <chartFormat chart="2" format="146">
      <pivotArea type="data" outline="0" fieldPosition="0">
        <references count="3">
          <reference field="4294967294" count="1" selected="0">
            <x v="0"/>
          </reference>
          <reference field="0" count="1" selected="0">
            <x v="16"/>
          </reference>
          <reference field="2" count="1" selected="0">
            <x v="4"/>
          </reference>
        </references>
      </pivotArea>
    </chartFormat>
    <chartFormat chart="2" format="147">
      <pivotArea type="data" outline="0" fieldPosition="0">
        <references count="3">
          <reference field="4294967294" count="1" selected="0">
            <x v="0"/>
          </reference>
          <reference field="0" count="1" selected="0">
            <x v="17"/>
          </reference>
          <reference field="2" count="1" selected="0">
            <x v="4"/>
          </reference>
        </references>
      </pivotArea>
    </chartFormat>
    <chartFormat chart="2" format="148">
      <pivotArea type="data" outline="0" fieldPosition="0">
        <references count="3">
          <reference field="4294967294" count="1" selected="0">
            <x v="0"/>
          </reference>
          <reference field="0" count="1" selected="0">
            <x v="18"/>
          </reference>
          <reference field="2" count="1" selected="0">
            <x v="4"/>
          </reference>
        </references>
      </pivotArea>
    </chartFormat>
    <chartFormat chart="2" format="149">
      <pivotArea type="data" outline="0" fieldPosition="0">
        <references count="3">
          <reference field="4294967294" count="1" selected="0">
            <x v="0"/>
          </reference>
          <reference field="0" count="1" selected="0">
            <x v="19"/>
          </reference>
          <reference field="2" count="1" selected="0">
            <x v="4"/>
          </reference>
        </references>
      </pivotArea>
    </chartFormat>
    <chartFormat chart="2" format="150">
      <pivotArea type="data" outline="0" fieldPosition="0">
        <references count="3">
          <reference field="4294967294" count="1" selected="0">
            <x v="0"/>
          </reference>
          <reference field="0" count="1" selected="0">
            <x v="20"/>
          </reference>
          <reference field="2" count="1" selected="0">
            <x v="4"/>
          </reference>
        </references>
      </pivotArea>
    </chartFormat>
    <chartFormat chart="2" format="151">
      <pivotArea type="data" outline="0" fieldPosition="0">
        <references count="3">
          <reference field="4294967294" count="1" selected="0">
            <x v="0"/>
          </reference>
          <reference field="0" count="1" selected="0">
            <x v="21"/>
          </reference>
          <reference field="2" count="1" selected="0">
            <x v="4"/>
          </reference>
        </references>
      </pivotArea>
    </chartFormat>
    <chartFormat chart="2" format="152">
      <pivotArea type="data" outline="0" fieldPosition="0">
        <references count="3">
          <reference field="4294967294" count="1" selected="0">
            <x v="0"/>
          </reference>
          <reference field="0" count="1" selected="0">
            <x v="22"/>
          </reference>
          <reference field="2" count="1" selected="0">
            <x v="4"/>
          </reference>
        </references>
      </pivotArea>
    </chartFormat>
    <chartFormat chart="2" format="153">
      <pivotArea type="data" outline="0" fieldPosition="0">
        <references count="3">
          <reference field="4294967294" count="1" selected="0">
            <x v="0"/>
          </reference>
          <reference field="0" count="1" selected="0">
            <x v="23"/>
          </reference>
          <reference field="2" count="1" selected="0">
            <x v="4"/>
          </reference>
        </references>
      </pivotArea>
    </chartFormat>
    <chartFormat chart="2" format="154">
      <pivotArea type="data" outline="0" fieldPosition="0">
        <references count="3">
          <reference field="4294967294" count="1" selected="0">
            <x v="0"/>
          </reference>
          <reference field="0" count="1" selected="0">
            <x v="24"/>
          </reference>
          <reference field="2" count="1" selected="0">
            <x v="4"/>
          </reference>
        </references>
      </pivotArea>
    </chartFormat>
    <chartFormat chart="2" format="155">
      <pivotArea type="data" outline="0" fieldPosition="0">
        <references count="3">
          <reference field="4294967294" count="1" selected="0">
            <x v="0"/>
          </reference>
          <reference field="0" count="1" selected="0">
            <x v="25"/>
          </reference>
          <reference field="2" count="1" selected="0">
            <x v="4"/>
          </reference>
        </references>
      </pivotArea>
    </chartFormat>
    <chartFormat chart="2" format="156">
      <pivotArea type="data" outline="0" fieldPosition="0">
        <references count="3">
          <reference field="4294967294" count="1" selected="0">
            <x v="0"/>
          </reference>
          <reference field="0" count="1" selected="0">
            <x v="26"/>
          </reference>
          <reference field="2" count="1" selected="0">
            <x v="4"/>
          </reference>
        </references>
      </pivotArea>
    </chartFormat>
    <chartFormat chart="2" format="157">
      <pivotArea type="data" outline="0" fieldPosition="0">
        <references count="3">
          <reference field="4294967294" count="1" selected="0">
            <x v="0"/>
          </reference>
          <reference field="0" count="1" selected="0">
            <x v="27"/>
          </reference>
          <reference field="2" count="1" selected="0">
            <x v="4"/>
          </reference>
        </references>
      </pivotArea>
    </chartFormat>
    <chartFormat chart="2" format="158">
      <pivotArea type="data" outline="0" fieldPosition="0">
        <references count="3">
          <reference field="4294967294" count="1" selected="0">
            <x v="0"/>
          </reference>
          <reference field="0" count="1" selected="0">
            <x v="28"/>
          </reference>
          <reference field="2" count="1" selected="0">
            <x v="4"/>
          </reference>
        </references>
      </pivotArea>
    </chartFormat>
    <chartFormat chart="2" format="159">
      <pivotArea type="data" outline="0" fieldPosition="0">
        <references count="3">
          <reference field="4294967294" count="1" selected="0">
            <x v="0"/>
          </reference>
          <reference field="0" count="1" selected="0">
            <x v="29"/>
          </reference>
          <reference field="2" count="1" selected="0">
            <x v="4"/>
          </reference>
        </references>
      </pivotArea>
    </chartFormat>
    <chartFormat chart="2" format="160">
      <pivotArea type="data" outline="0" fieldPosition="0">
        <references count="3">
          <reference field="4294967294" count="1" selected="0">
            <x v="0"/>
          </reference>
          <reference field="0" count="1" selected="0">
            <x v="3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5BD8F3E-9357-4E90-9A86-55CA745E1453}" sourceName="TYPE">
  <pivotTables>
    <pivotTable tabId="13" name="PivotTable6"/>
    <pivotTable tabId="15" name="PivotTable8"/>
    <pivotTable tabId="14" name="PivotTable7"/>
    <pivotTable tabId="10" name="Pivot_Analysis"/>
    <pivotTable tabId="12" name="PivotTable5"/>
    <pivotTable tabId="11" name="PivotTable4"/>
  </pivotTables>
  <data>
    <tabular pivotCacheId="1027152921">
      <items count="5">
        <i x="2" s="1"/>
        <i x="3" s="1"/>
        <i x="1"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AC_GRADE" xr10:uid="{80A9E15E-14CD-4539-9A16-858FEC077EA2}" sourceName="NAAC GRADE">
  <pivotTables>
    <pivotTable tabId="10" name="Pivot_Analysis"/>
    <pivotTable tabId="15" name="PivotTable8"/>
    <pivotTable tabId="14" name="PivotTable7"/>
    <pivotTable tabId="12" name="PivotTable5"/>
    <pivotTable tabId="13" name="PivotTable6"/>
    <pivotTable tabId="11" name="PivotTable4"/>
  </pivotTables>
  <data>
    <tabular pivotCacheId="1027152921">
      <items count="7">
        <i x="0" s="1"/>
        <i x="4" s="1"/>
        <i x="3" s="1"/>
        <i x="5" s="1"/>
        <i x="2" s="1"/>
        <i x="1"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2A47C40E-F610-4E88-A128-6F93C5B4063C}" sourceName="DISTRICT">
  <pivotTables>
    <pivotTable tabId="14" name="PivotTable7"/>
    <pivotTable tabId="15" name="PivotTable8"/>
    <pivotTable tabId="10" name="Pivot_Analysis"/>
    <pivotTable tabId="12" name="PivotTable5"/>
    <pivotTable tabId="13" name="PivotTable6"/>
    <pivotTable tabId="11" name="PivotTable4"/>
  </pivotTables>
  <data>
    <tabular pivotCacheId="1027152921">
      <items count="9">
        <i x="4" s="1"/>
        <i x="1" s="1"/>
        <i x="2" s="1"/>
        <i x="5" s="1"/>
        <i x="3" s="1"/>
        <i x="6" s="1"/>
        <i x="0" s="1"/>
        <i x="7"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AC GRADE" xr10:uid="{3A6F862E-9E5D-4368-A83C-0DA704EE242B}" cache="Slicer_NAAC_GRADE" caption="NAAC GRA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5DCEAE4-0E03-4B2D-9471-310F8CF91A46}" cache="Slicer_TYPE" caption="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A798E9BC-AD04-4829-A67B-E8324399075B}" cache="Slicer_DISTRICT1" caption="DISTRI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F2605593-6A50-430D-ADFE-6AEB9BC88D35}" cache="Slicer_TYPE" caption="TYPE" rowHeight="234950"/>
  <slicer name="NAAC GRADE 1" xr10:uid="{1FD67A59-74EA-4970-93FF-84E76B340E37}" cache="Slicer_NAAC_GRADE" caption="NAAC GRADE" rowHeight="234950"/>
  <slicer name="DISTRICT 2" xr10:uid="{EA7CC258-8D8C-4A9E-A41B-73C68B624511}" cache="Slicer_DISTRICT1" caption="DISTRI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469D28-E028-41E1-AADD-0CE807AB299B}" name="CollegeData" displayName="CollegeData" ref="A1:Q31" totalsRowShown="0" dataDxfId="32">
  <autoFilter ref="A1:Q31" xr:uid="{06469D28-E028-41E1-AADD-0CE807AB299B}"/>
  <tableColumns count="17">
    <tableColumn id="1" xr3:uid="{0339C26C-2346-490D-B3DE-6DF954114802}" name="COLLEGE NAME" dataDxfId="31"/>
    <tableColumn id="2" xr3:uid="{1D43E153-1920-42FC-894C-0F765AAF18C2}" name="DISTRICT" dataDxfId="30"/>
    <tableColumn id="3" xr3:uid="{0D2D7559-8842-42CF-A227-1B05F7C93430}" name="TYPE" dataDxfId="29"/>
    <tableColumn id="4" xr3:uid="{4AEF5377-5354-4CE2-A902-27EC69AAFA4C}" name="NAAC GRADE" dataDxfId="28"/>
    <tableColumn id="5" xr3:uid="{5F395876-A3D1-474F-A00C-30D519F9E4F9}" name="NIRF RANK" dataDxfId="27"/>
    <tableColumn id="6" xr3:uid="{C406CDA5-3AE6-4142-A616-F82266A21BB6}" name="FEES PER YEAR" dataDxfId="26"/>
    <tableColumn id="16" xr3:uid="{59924A25-9138-43C1-8EE0-B46E08D7843B}" name="TOTAL MIN 3/4 YEAR COST" dataDxfId="25"/>
    <tableColumn id="7" xr3:uid="{772B9A21-25E7-4CF0-B29A-F4C7CF0DBD6A}" name="TOTAL MAX 3/4 YEARS COST" dataDxfId="24"/>
    <tableColumn id="17" xr3:uid="{66626282-EFF8-43BC-B03A-F1F2B4E83176}" name="TOTAL AVERAGE COST" dataDxfId="23">
      <calculatedColumnFormula>AVERAGE(G2:H2)</calculatedColumnFormula>
    </tableColumn>
    <tableColumn id="8" xr3:uid="{279A264C-7EF5-416E-9A6B-DEBA9D5FA6FA}" name="TNEA CUTOFF 2026" dataDxfId="22"/>
    <tableColumn id="9" xr3:uid="{EC879DDF-E319-4563-825D-A579BA3273E4}" name="PLACEMENT%" dataDxfId="21"/>
    <tableColumn id="10" xr3:uid="{77AD6DB1-F74E-4EA6-8DFE-BBA69F4CAA04}" name="AVERAGE PACKAGE LPA" dataDxfId="20"/>
    <tableColumn id="11" xr3:uid="{FA5A6C8C-D95D-4292-A355-359E61FE1E39}" name="HIGHEST PACKAGE LPA" dataDxfId="19"/>
    <tableColumn id="12" xr3:uid="{037DEE89-7087-418A-8929-2F278F436B81}" name="STUDENT-FACULTY RATIO" dataDxfId="18"/>
    <tableColumn id="13" xr3:uid="{BDCCCDD0-AA44-4AC9-8DD7-02CAC34D0255}" name="HOSTEL AVAILABLE YES/NO" dataDxfId="17"/>
    <tableColumn id="14" xr3:uid="{F06EADFC-D5F1-4BCE-B8C3-ABBF6B0BE953}" name="HOSTEL FEE" dataDxfId="16"/>
    <tableColumn id="15" xr3:uid="{0D4BD739-5B4F-4E09-9845-A5F2298B1F0D}" name="PACKAGE_NUMBER" dataDxfId="15">
      <calculatedColumnFormula>VALUE(SUBSTITUTE(CollegeData[[#This Row],[AVERAGE PACKAGE LPA]]," LPA",""))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206E9D-6CDA-46BA-9667-5DE300C44D89}" name="calculation_data" displayName="calculation_data" ref="A1:M31" totalsRowShown="0" headerRowDxfId="14" dataDxfId="13">
  <autoFilter ref="A1:M31" xr:uid="{80206E9D-6CDA-46BA-9667-5DE300C44D89}"/>
  <tableColumns count="13">
    <tableColumn id="1" xr3:uid="{747BE5E8-7A6D-42B4-A741-F2DB22F17BEE}" name="COLLEGE NAME" dataDxfId="12">
      <calculatedColumnFormula>Raw_Data!A2</calculatedColumnFormula>
    </tableColumn>
    <tableColumn id="10" xr3:uid="{D73C3E37-3CD5-48FE-A125-985DE87EB964}" name="DISTRICT" dataDxfId="11">
      <calculatedColumnFormula>Raw_Data!B2</calculatedColumnFormula>
    </tableColumn>
    <tableColumn id="11" xr3:uid="{3B524E05-9826-4922-8980-88CDE34B2818}" name="TYPE" dataDxfId="10">
      <calculatedColumnFormula>Raw_Data!C2</calculatedColumnFormula>
    </tableColumn>
    <tableColumn id="13" xr3:uid="{88601693-E664-4277-8336-41B761E2AC1D}" name="NAAC GRADE" dataDxfId="9">
      <calculatedColumnFormula>Raw_Data!D2</calculatedColumnFormula>
    </tableColumn>
    <tableColumn id="14" xr3:uid="{344770B4-38E4-484E-92BB-557EDF9D3CE8}" name="TNEA CUTOFF 2026" dataDxfId="8">
      <calculatedColumnFormula>Raw_Data!J2</calculatedColumnFormula>
    </tableColumn>
    <tableColumn id="2" xr3:uid="{13EDBF47-02BC-4280-9357-94BB50C27BC4}" name="TOTAL 3/4 YEAR COST" dataDxfId="7">
      <calculatedColumnFormula>Raw_Data!I2</calculatedColumnFormula>
    </tableColumn>
    <tableColumn id="3" xr3:uid="{74835784-C860-436D-97B5-E23BBB100B4B}" name="AVERAGE PACKAGE LPA" dataDxfId="6">
      <calculatedColumnFormula>Raw_Data!L2</calculatedColumnFormula>
    </tableColumn>
    <tableColumn id="4" xr3:uid="{EF348237-BEF8-4B2F-8B3C-228551479058}" name="HEADING PACKAGE" dataDxfId="5">
      <calculatedColumnFormula>VALUE(SUBSTITUTE(SUBSTITUTE(G2," LPA",""),"LPA",""))</calculatedColumnFormula>
    </tableColumn>
    <tableColumn id="5" xr3:uid="{FA2B1304-38C2-47E2-8C59-94A34CFED0E6}" name="PLACEMENT%" dataDxfId="4">
      <calculatedColumnFormula>Raw_Data!K2</calculatedColumnFormula>
    </tableColumn>
    <tableColumn id="6" xr3:uid="{27CEE1F0-1090-45F1-B2B7-7F65FE5A88C2}" name="PAYBACK RATIO" dataDxfId="3">
      <calculatedColumnFormula>IFERROR((VALUE(SUBSTITUTE(SUBSTITUTE(G2," LPA",""),"LPA",""))*100000)/VALUE(F2),0)</calculatedColumnFormula>
    </tableColumn>
    <tableColumn id="7" xr3:uid="{7956265B-7579-4F27-8677-D64CD7D77F23}" name="FEES CATEGORY" dataDxfId="2">
      <calculatedColumnFormula>IF(F2&lt;=400000,"Budget Friendly","High Cost")</calculatedColumnFormula>
    </tableColumn>
    <tableColumn id="8" xr3:uid="{FA8651C0-9F16-4B6C-8BD2-74645977A65C}" name="PLACEMENT CATEGORY" dataDxfId="1">
      <calculatedColumnFormula>IF(I2&gt;=80,"High Placement","Low placement")</calculatedColumnFormula>
    </tableColumn>
    <tableColumn id="9" xr3:uid="{A8EBBDDF-6D5E-498D-BC87-34227A866DB2}" name="RECOMMENDATION" dataDxfId="0">
      <calculatedColumnFormula>IF(AND(F2&lt;=400000,I2&gt;=80),"Recommended","Compare More")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7735-6EE2-4E39-AE47-D04B7061B090}">
  <dimension ref="A1:Q34"/>
  <sheetViews>
    <sheetView tabSelected="1" topLeftCell="E1" zoomScale="97" workbookViewId="0">
      <selection activeCell="L33" sqref="L33"/>
    </sheetView>
  </sheetViews>
  <sheetFormatPr defaultRowHeight="14.4" x14ac:dyDescent="0.3"/>
  <cols>
    <col min="1" max="1" width="49.77734375" style="5" bestFit="1" customWidth="1"/>
    <col min="2" max="4" width="25.77734375" style="5" customWidth="1"/>
    <col min="5" max="5" width="25.77734375" style="16" customWidth="1"/>
    <col min="6" max="7" width="33.5546875" style="17" customWidth="1"/>
    <col min="8" max="9" width="36.33203125" style="23" customWidth="1"/>
    <col min="10" max="10" width="25.77734375" style="13" customWidth="1"/>
    <col min="11" max="11" width="29.109375" style="16" customWidth="1"/>
    <col min="12" max="12" width="31.88671875" customWidth="1"/>
    <col min="13" max="13" width="31.77734375" style="17" customWidth="1"/>
    <col min="14" max="14" width="35.21875" bestFit="1" customWidth="1"/>
    <col min="15" max="15" width="37.88671875" style="5" customWidth="1"/>
    <col min="16" max="16" width="20.77734375" style="19" customWidth="1"/>
    <col min="17" max="17" width="21.77734375" customWidth="1"/>
  </cols>
  <sheetData>
    <row r="1" spans="1:17" ht="15.6" x14ac:dyDescent="0.3">
      <c r="A1" s="2" t="s">
        <v>0</v>
      </c>
      <c r="B1" s="2" t="s">
        <v>1</v>
      </c>
      <c r="C1" s="2" t="s">
        <v>2</v>
      </c>
      <c r="D1" s="2" t="s">
        <v>3</v>
      </c>
      <c r="E1" s="14" t="s">
        <v>4</v>
      </c>
      <c r="F1" s="10" t="s">
        <v>5</v>
      </c>
      <c r="G1" s="10" t="s">
        <v>208</v>
      </c>
      <c r="H1" s="18" t="s">
        <v>209</v>
      </c>
      <c r="I1" s="18" t="s">
        <v>210</v>
      </c>
      <c r="J1" s="6" t="s">
        <v>6</v>
      </c>
      <c r="K1" s="14" t="s">
        <v>7</v>
      </c>
      <c r="L1" s="10" t="s">
        <v>8</v>
      </c>
      <c r="M1" s="10" t="s">
        <v>56</v>
      </c>
      <c r="N1" s="1" t="s">
        <v>9</v>
      </c>
      <c r="O1" s="2" t="s">
        <v>57</v>
      </c>
      <c r="P1" s="18" t="s">
        <v>58</v>
      </c>
      <c r="Q1" s="22" t="s">
        <v>177</v>
      </c>
    </row>
    <row r="2" spans="1:17" x14ac:dyDescent="0.3">
      <c r="A2" s="3" t="s">
        <v>41</v>
      </c>
      <c r="B2" s="4" t="s">
        <v>10</v>
      </c>
      <c r="C2" s="4" t="s">
        <v>11</v>
      </c>
      <c r="D2" s="4" t="s">
        <v>51</v>
      </c>
      <c r="E2" s="15">
        <v>152</v>
      </c>
      <c r="F2" s="11" t="s">
        <v>59</v>
      </c>
      <c r="G2" s="19">
        <v>135000</v>
      </c>
      <c r="H2" s="19">
        <v>1450000</v>
      </c>
      <c r="I2" s="19">
        <f t="shared" ref="I2:I31" si="0">AVERAGE(G2:H2)</f>
        <v>792500</v>
      </c>
      <c r="J2" s="7" t="s">
        <v>62</v>
      </c>
      <c r="K2" s="15">
        <v>70</v>
      </c>
      <c r="L2" s="7" t="s">
        <v>53</v>
      </c>
      <c r="M2" s="11" t="s">
        <v>54</v>
      </c>
      <c r="N2" s="8" t="s">
        <v>76</v>
      </c>
      <c r="O2" s="4" t="s">
        <v>55</v>
      </c>
      <c r="P2" s="19">
        <v>42000</v>
      </c>
      <c r="Q2" s="20">
        <f>VALUE(SUBSTITUTE(CollegeData[[#This Row],[AVERAGE PACKAGE LPA]]," LPA",""))</f>
        <v>1.4</v>
      </c>
    </row>
    <row r="3" spans="1:17" x14ac:dyDescent="0.3">
      <c r="A3" s="3" t="s">
        <v>12</v>
      </c>
      <c r="B3" s="4" t="s">
        <v>10</v>
      </c>
      <c r="C3" s="4" t="s">
        <v>11</v>
      </c>
      <c r="D3" s="4" t="s">
        <v>51</v>
      </c>
      <c r="E3" s="15" t="s">
        <v>60</v>
      </c>
      <c r="F3" s="11" t="s">
        <v>61</v>
      </c>
      <c r="G3" s="19">
        <v>105000</v>
      </c>
      <c r="H3" s="19">
        <v>151000</v>
      </c>
      <c r="I3" s="19">
        <f t="shared" si="0"/>
        <v>128000</v>
      </c>
      <c r="J3" s="7" t="s">
        <v>62</v>
      </c>
      <c r="K3" s="15">
        <v>72.5</v>
      </c>
      <c r="L3" s="7" t="s">
        <v>178</v>
      </c>
      <c r="M3" s="11" t="s">
        <v>160</v>
      </c>
      <c r="N3" s="8" t="s">
        <v>77</v>
      </c>
      <c r="O3" s="4" t="s">
        <v>55</v>
      </c>
      <c r="P3" s="19">
        <v>40000</v>
      </c>
      <c r="Q3" s="20">
        <f>VALUE(SUBSTITUTE(CollegeData[[#This Row],[AVERAGE PACKAGE LPA]]," LPA",""))</f>
        <v>1.29</v>
      </c>
    </row>
    <row r="4" spans="1:17" x14ac:dyDescent="0.3">
      <c r="A4" s="3" t="s">
        <v>42</v>
      </c>
      <c r="B4" s="4" t="s">
        <v>10</v>
      </c>
      <c r="C4" s="4" t="s">
        <v>11</v>
      </c>
      <c r="D4" s="4" t="s">
        <v>68</v>
      </c>
      <c r="E4" s="15" t="s">
        <v>60</v>
      </c>
      <c r="F4" s="11" t="s">
        <v>63</v>
      </c>
      <c r="G4" s="19">
        <v>90000</v>
      </c>
      <c r="H4" s="19">
        <v>120000</v>
      </c>
      <c r="I4" s="19">
        <f t="shared" si="0"/>
        <v>105000</v>
      </c>
      <c r="J4" s="7" t="s">
        <v>62</v>
      </c>
      <c r="K4" s="15">
        <v>75</v>
      </c>
      <c r="L4" s="7" t="s">
        <v>179</v>
      </c>
      <c r="M4" s="11" t="s">
        <v>197</v>
      </c>
      <c r="N4" s="8" t="s">
        <v>78</v>
      </c>
      <c r="O4" s="4" t="s">
        <v>55</v>
      </c>
      <c r="P4" s="19">
        <v>48000</v>
      </c>
      <c r="Q4" s="20">
        <f>VALUE(SUBSTITUTE(CollegeData[[#This Row],[AVERAGE PACKAGE LPA]]," LPA",""))</f>
        <v>3</v>
      </c>
    </row>
    <row r="5" spans="1:17" x14ac:dyDescent="0.3">
      <c r="A5" s="3" t="s">
        <v>43</v>
      </c>
      <c r="B5" s="4" t="s">
        <v>10</v>
      </c>
      <c r="C5" s="4" t="s">
        <v>13</v>
      </c>
      <c r="D5" s="4" t="s">
        <v>64</v>
      </c>
      <c r="E5" s="15">
        <v>101</v>
      </c>
      <c r="F5" s="11" t="s">
        <v>65</v>
      </c>
      <c r="G5" s="19">
        <v>4050</v>
      </c>
      <c r="H5" s="19">
        <v>8550</v>
      </c>
      <c r="I5" s="19">
        <f t="shared" si="0"/>
        <v>6300</v>
      </c>
      <c r="J5" s="7" t="s">
        <v>62</v>
      </c>
      <c r="K5" s="15">
        <v>70</v>
      </c>
      <c r="L5" s="7" t="s">
        <v>180</v>
      </c>
      <c r="M5" s="11" t="s">
        <v>66</v>
      </c>
      <c r="N5" s="9" t="s">
        <v>79</v>
      </c>
      <c r="O5" s="4" t="s">
        <v>55</v>
      </c>
      <c r="P5" s="19" t="s">
        <v>67</v>
      </c>
      <c r="Q5" s="20">
        <f>VALUE(SUBSTITUTE(CollegeData[[#This Row],[AVERAGE PACKAGE LPA]]," LPA",""))</f>
        <v>1.5</v>
      </c>
    </row>
    <row r="6" spans="1:17" x14ac:dyDescent="0.3">
      <c r="A6" s="3" t="s">
        <v>14</v>
      </c>
      <c r="B6" s="4" t="s">
        <v>10</v>
      </c>
      <c r="C6" s="4" t="s">
        <v>13</v>
      </c>
      <c r="D6" s="4" t="s">
        <v>68</v>
      </c>
      <c r="E6" s="15" t="s">
        <v>69</v>
      </c>
      <c r="F6" s="11" t="s">
        <v>70</v>
      </c>
      <c r="G6" s="19">
        <v>4140</v>
      </c>
      <c r="H6" s="19">
        <v>7350</v>
      </c>
      <c r="I6" s="19">
        <f t="shared" si="0"/>
        <v>5745</v>
      </c>
      <c r="J6" s="7" t="s">
        <v>62</v>
      </c>
      <c r="K6" s="15">
        <v>88</v>
      </c>
      <c r="L6" s="7" t="s">
        <v>181</v>
      </c>
      <c r="M6" s="11" t="s">
        <v>71</v>
      </c>
      <c r="N6" s="9" t="s">
        <v>80</v>
      </c>
      <c r="O6" s="4" t="s">
        <v>55</v>
      </c>
      <c r="P6" s="19" t="s">
        <v>72</v>
      </c>
      <c r="Q6" s="20">
        <f>VALUE(SUBSTITUTE(CollegeData[[#This Row],[AVERAGE PACKAGE LPA]]," LPA",""))</f>
        <v>1.84</v>
      </c>
    </row>
    <row r="7" spans="1:17" x14ac:dyDescent="0.3">
      <c r="A7" s="3" t="s">
        <v>15</v>
      </c>
      <c r="B7" s="4" t="s">
        <v>16</v>
      </c>
      <c r="C7" s="4" t="s">
        <v>17</v>
      </c>
      <c r="D7" s="4" t="s">
        <v>73</v>
      </c>
      <c r="E7" s="15">
        <v>14</v>
      </c>
      <c r="F7" s="11" t="s">
        <v>74</v>
      </c>
      <c r="G7" s="19">
        <v>135000</v>
      </c>
      <c r="H7" s="19">
        <v>508000</v>
      </c>
      <c r="I7" s="19">
        <f t="shared" si="0"/>
        <v>321500</v>
      </c>
      <c r="J7" s="7" t="s">
        <v>62</v>
      </c>
      <c r="K7" s="15">
        <v>95</v>
      </c>
      <c r="L7" s="7" t="s">
        <v>182</v>
      </c>
      <c r="M7" s="11" t="s">
        <v>198</v>
      </c>
      <c r="N7" s="9" t="s">
        <v>81</v>
      </c>
      <c r="O7" s="4" t="s">
        <v>55</v>
      </c>
      <c r="P7" s="19" t="s">
        <v>75</v>
      </c>
      <c r="Q7" s="20">
        <f>VALUE(SUBSTITUTE(CollegeData[[#This Row],[AVERAGE PACKAGE LPA]]," LPA",""))</f>
        <v>6.34</v>
      </c>
    </row>
    <row r="8" spans="1:17" x14ac:dyDescent="0.3">
      <c r="A8" s="3" t="s">
        <v>44</v>
      </c>
      <c r="B8" s="4" t="s">
        <v>18</v>
      </c>
      <c r="C8" s="4" t="s">
        <v>17</v>
      </c>
      <c r="D8" s="4" t="s">
        <v>73</v>
      </c>
      <c r="E8" s="15">
        <v>10</v>
      </c>
      <c r="F8" s="11" t="s">
        <v>82</v>
      </c>
      <c r="G8" s="19">
        <v>120000</v>
      </c>
      <c r="H8" s="19">
        <v>270000</v>
      </c>
      <c r="I8" s="19">
        <f t="shared" si="0"/>
        <v>195000</v>
      </c>
      <c r="J8" s="7" t="s">
        <v>62</v>
      </c>
      <c r="K8" s="15">
        <v>83</v>
      </c>
      <c r="L8" s="7" t="s">
        <v>83</v>
      </c>
      <c r="M8" s="11" t="s">
        <v>199</v>
      </c>
      <c r="N8" s="12" t="s">
        <v>84</v>
      </c>
      <c r="O8" s="4" t="s">
        <v>55</v>
      </c>
      <c r="P8" s="19" t="s">
        <v>85</v>
      </c>
      <c r="Q8" s="20">
        <f>VALUE(SUBSTITUTE(CollegeData[[#This Row],[AVERAGE PACKAGE LPA]]," LPA",""))</f>
        <v>3.83</v>
      </c>
    </row>
    <row r="9" spans="1:17" x14ac:dyDescent="0.3">
      <c r="A9" s="3" t="s">
        <v>45</v>
      </c>
      <c r="B9" s="4" t="s">
        <v>18</v>
      </c>
      <c r="C9" s="4" t="s">
        <v>17</v>
      </c>
      <c r="D9" s="4" t="s">
        <v>73</v>
      </c>
      <c r="E9" s="15">
        <v>66</v>
      </c>
      <c r="F9" s="11" t="s">
        <v>86</v>
      </c>
      <c r="G9" s="19">
        <v>150000</v>
      </c>
      <c r="H9" s="19">
        <v>300000</v>
      </c>
      <c r="I9" s="19">
        <f t="shared" si="0"/>
        <v>225000</v>
      </c>
      <c r="J9" s="7" t="s">
        <v>62</v>
      </c>
      <c r="K9" s="15">
        <v>90</v>
      </c>
      <c r="L9" s="7" t="s">
        <v>183</v>
      </c>
      <c r="M9" s="11" t="s">
        <v>200</v>
      </c>
      <c r="N9" s="12" t="s">
        <v>87</v>
      </c>
      <c r="O9" s="4" t="s">
        <v>55</v>
      </c>
      <c r="P9" s="19" t="s">
        <v>88</v>
      </c>
      <c r="Q9" s="20">
        <f>VALUE(SUBSTITUTE(CollegeData[[#This Row],[AVERAGE PACKAGE LPA]]," LPA",""))</f>
        <v>3.7</v>
      </c>
    </row>
    <row r="10" spans="1:17" x14ac:dyDescent="0.3">
      <c r="A10" s="3" t="s">
        <v>19</v>
      </c>
      <c r="B10" s="4" t="s">
        <v>20</v>
      </c>
      <c r="C10" s="4" t="s">
        <v>17</v>
      </c>
      <c r="D10" s="4" t="s">
        <v>73</v>
      </c>
      <c r="E10" s="15">
        <v>59</v>
      </c>
      <c r="F10" s="11" t="s">
        <v>89</v>
      </c>
      <c r="G10" s="19">
        <v>72000</v>
      </c>
      <c r="H10" s="19">
        <v>215000</v>
      </c>
      <c r="I10" s="19">
        <f t="shared" si="0"/>
        <v>143500</v>
      </c>
      <c r="J10" s="7" t="s">
        <v>62</v>
      </c>
      <c r="K10" s="15">
        <v>60</v>
      </c>
      <c r="L10" s="7" t="s">
        <v>184</v>
      </c>
      <c r="M10" s="11" t="s">
        <v>201</v>
      </c>
      <c r="N10" s="12" t="s">
        <v>78</v>
      </c>
      <c r="O10" s="4" t="s">
        <v>55</v>
      </c>
      <c r="P10" s="19" t="s">
        <v>90</v>
      </c>
      <c r="Q10" s="20">
        <f>VALUE(SUBSTITUTE(CollegeData[[#This Row],[AVERAGE PACKAGE LPA]]," LPA",""))</f>
        <v>2.1</v>
      </c>
    </row>
    <row r="11" spans="1:17" x14ac:dyDescent="0.3">
      <c r="A11" s="3" t="s">
        <v>21</v>
      </c>
      <c r="B11" s="4" t="s">
        <v>22</v>
      </c>
      <c r="C11" s="4" t="s">
        <v>17</v>
      </c>
      <c r="D11" s="4" t="s">
        <v>51</v>
      </c>
      <c r="E11" s="15">
        <v>16</v>
      </c>
      <c r="F11" s="11" t="s">
        <v>91</v>
      </c>
      <c r="G11" s="19">
        <v>83760</v>
      </c>
      <c r="H11" s="19">
        <v>210000</v>
      </c>
      <c r="I11" s="19">
        <f t="shared" si="0"/>
        <v>146880</v>
      </c>
      <c r="J11" s="7" t="s">
        <v>62</v>
      </c>
      <c r="K11" s="15">
        <v>90</v>
      </c>
      <c r="L11" s="7" t="s">
        <v>92</v>
      </c>
      <c r="M11" s="11" t="s">
        <v>202</v>
      </c>
      <c r="N11" s="12" t="s">
        <v>93</v>
      </c>
      <c r="O11" s="4" t="s">
        <v>55</v>
      </c>
      <c r="P11" s="19" t="s">
        <v>94</v>
      </c>
      <c r="Q11" s="20">
        <f>VALUE(SUBSTITUTE(CollegeData[[#This Row],[AVERAGE PACKAGE LPA]]," LPA",""))</f>
        <v>3.6</v>
      </c>
    </row>
    <row r="12" spans="1:17" x14ac:dyDescent="0.3">
      <c r="A12" s="3" t="s">
        <v>23</v>
      </c>
      <c r="B12" s="4" t="s">
        <v>16</v>
      </c>
      <c r="C12" s="4" t="s">
        <v>17</v>
      </c>
      <c r="D12" s="4" t="s">
        <v>95</v>
      </c>
      <c r="E12" s="15">
        <v>41</v>
      </c>
      <c r="F12" s="11" t="s">
        <v>96</v>
      </c>
      <c r="G12" s="19">
        <v>55000</v>
      </c>
      <c r="H12" s="19">
        <v>275000</v>
      </c>
      <c r="I12" s="19">
        <f t="shared" si="0"/>
        <v>165000</v>
      </c>
      <c r="J12" s="7" t="s">
        <v>62</v>
      </c>
      <c r="K12" s="15">
        <v>45</v>
      </c>
      <c r="L12" s="7" t="s">
        <v>185</v>
      </c>
      <c r="M12" s="11" t="s">
        <v>113</v>
      </c>
      <c r="N12" s="12" t="s">
        <v>98</v>
      </c>
      <c r="O12" s="4" t="s">
        <v>55</v>
      </c>
      <c r="P12" s="19" t="s">
        <v>97</v>
      </c>
      <c r="Q12" s="20">
        <f>VALUE(SUBSTITUTE(CollegeData[[#This Row],[AVERAGE PACKAGE LPA]]," LPA",""))</f>
        <v>4.5999999999999996</v>
      </c>
    </row>
    <row r="13" spans="1:17" x14ac:dyDescent="0.3">
      <c r="A13" s="3" t="s">
        <v>46</v>
      </c>
      <c r="B13" s="4" t="s">
        <v>10</v>
      </c>
      <c r="C13" s="4" t="s">
        <v>13</v>
      </c>
      <c r="D13" s="4" t="s">
        <v>99</v>
      </c>
      <c r="E13" s="15" t="s">
        <v>60</v>
      </c>
      <c r="F13" s="11" t="s">
        <v>100</v>
      </c>
      <c r="G13" s="19">
        <v>6000</v>
      </c>
      <c r="H13" s="19">
        <v>9000</v>
      </c>
      <c r="I13" s="19">
        <f t="shared" si="0"/>
        <v>7500</v>
      </c>
      <c r="J13" s="7" t="s">
        <v>62</v>
      </c>
      <c r="K13" s="15">
        <v>49</v>
      </c>
      <c r="L13" s="7" t="s">
        <v>186</v>
      </c>
      <c r="M13" s="11" t="s">
        <v>203</v>
      </c>
      <c r="N13" s="12" t="s">
        <v>101</v>
      </c>
      <c r="O13" s="4" t="s">
        <v>102</v>
      </c>
      <c r="P13" s="19" t="s">
        <v>52</v>
      </c>
      <c r="Q13" s="20">
        <f>VALUE(SUBSTITUTE(CollegeData[[#This Row],[AVERAGE PACKAGE LPA]]," LPA",""))</f>
        <v>1.56</v>
      </c>
    </row>
    <row r="14" spans="1:17" x14ac:dyDescent="0.3">
      <c r="A14" s="3" t="s">
        <v>47</v>
      </c>
      <c r="B14" s="4" t="s">
        <v>10</v>
      </c>
      <c r="C14" s="4" t="s">
        <v>11</v>
      </c>
      <c r="D14" s="4" t="s">
        <v>64</v>
      </c>
      <c r="E14" s="15" t="s">
        <v>60</v>
      </c>
      <c r="F14" s="11" t="s">
        <v>103</v>
      </c>
      <c r="G14" s="19">
        <v>45000</v>
      </c>
      <c r="H14" s="19">
        <v>75000</v>
      </c>
      <c r="I14" s="19">
        <f t="shared" si="0"/>
        <v>60000</v>
      </c>
      <c r="J14" s="7" t="s">
        <v>62</v>
      </c>
      <c r="K14" s="15">
        <v>83</v>
      </c>
      <c r="L14" s="7" t="s">
        <v>180</v>
      </c>
      <c r="M14" s="11" t="s">
        <v>204</v>
      </c>
      <c r="N14" s="12" t="s">
        <v>104</v>
      </c>
      <c r="O14" s="4" t="s">
        <v>55</v>
      </c>
      <c r="P14" s="19" t="s">
        <v>105</v>
      </c>
      <c r="Q14" s="20">
        <f>VALUE(SUBSTITUTE(CollegeData[[#This Row],[AVERAGE PACKAGE LPA]]," LPA",""))</f>
        <v>1.5</v>
      </c>
    </row>
    <row r="15" spans="1:17" x14ac:dyDescent="0.3">
      <c r="A15" s="3" t="s">
        <v>48</v>
      </c>
      <c r="B15" s="4" t="s">
        <v>18</v>
      </c>
      <c r="C15" s="4" t="s">
        <v>17</v>
      </c>
      <c r="D15" s="4" t="s">
        <v>95</v>
      </c>
      <c r="E15" s="15" t="s">
        <v>106</v>
      </c>
      <c r="F15" s="11" t="s">
        <v>107</v>
      </c>
      <c r="G15" s="19">
        <v>100000</v>
      </c>
      <c r="H15" s="19">
        <v>210000</v>
      </c>
      <c r="I15" s="19">
        <f t="shared" si="0"/>
        <v>155000</v>
      </c>
      <c r="J15" s="7" t="s">
        <v>62</v>
      </c>
      <c r="K15" s="15">
        <v>95</v>
      </c>
      <c r="L15" s="7" t="s">
        <v>187</v>
      </c>
      <c r="M15" s="11" t="s">
        <v>108</v>
      </c>
      <c r="N15" s="12" t="s">
        <v>87</v>
      </c>
      <c r="O15" s="4" t="s">
        <v>55</v>
      </c>
      <c r="P15" s="19" t="s">
        <v>109</v>
      </c>
      <c r="Q15" s="20">
        <f>VALUE(SUBSTITUTE(CollegeData[[#This Row],[AVERAGE PACKAGE LPA]]," LPA",""))</f>
        <v>4</v>
      </c>
    </row>
    <row r="16" spans="1:17" x14ac:dyDescent="0.3">
      <c r="A16" s="3" t="s">
        <v>24</v>
      </c>
      <c r="B16" s="4" t="s">
        <v>20</v>
      </c>
      <c r="C16" s="4" t="s">
        <v>17</v>
      </c>
      <c r="D16" s="4" t="s">
        <v>73</v>
      </c>
      <c r="E16" s="15">
        <v>20</v>
      </c>
      <c r="F16" s="11" t="s">
        <v>110</v>
      </c>
      <c r="G16" s="19">
        <v>120000</v>
      </c>
      <c r="H16" s="19">
        <v>192000</v>
      </c>
      <c r="I16" s="19">
        <f t="shared" si="0"/>
        <v>156000</v>
      </c>
      <c r="J16" s="7" t="s">
        <v>62</v>
      </c>
      <c r="K16" s="15">
        <v>83</v>
      </c>
      <c r="L16" s="7" t="s">
        <v>188</v>
      </c>
      <c r="M16" s="11" t="s">
        <v>205</v>
      </c>
      <c r="N16" s="12" t="s">
        <v>87</v>
      </c>
      <c r="O16" s="4" t="s">
        <v>55</v>
      </c>
      <c r="P16" s="19">
        <v>35000</v>
      </c>
      <c r="Q16" s="20">
        <f>VALUE(SUBSTITUTE(CollegeData[[#This Row],[AVERAGE PACKAGE LPA]]," LPA",""))</f>
        <v>3.4</v>
      </c>
    </row>
    <row r="17" spans="1:17" x14ac:dyDescent="0.3">
      <c r="A17" s="3" t="s">
        <v>49</v>
      </c>
      <c r="B17" s="4" t="s">
        <v>10</v>
      </c>
      <c r="C17" s="4" t="s">
        <v>17</v>
      </c>
      <c r="D17" s="4" t="s">
        <v>95</v>
      </c>
      <c r="E17" s="15" t="s">
        <v>60</v>
      </c>
      <c r="F17" s="11" t="s">
        <v>111</v>
      </c>
      <c r="G17" s="19">
        <v>220000</v>
      </c>
      <c r="H17" s="19">
        <v>348000</v>
      </c>
      <c r="I17" s="19">
        <f t="shared" si="0"/>
        <v>284000</v>
      </c>
      <c r="J17" s="7" t="s">
        <v>115</v>
      </c>
      <c r="K17" s="15">
        <v>79</v>
      </c>
      <c r="L17" s="7" t="s">
        <v>112</v>
      </c>
      <c r="M17" s="11" t="s">
        <v>113</v>
      </c>
      <c r="N17" s="12" t="s">
        <v>87</v>
      </c>
      <c r="O17" s="4" t="s">
        <v>55</v>
      </c>
      <c r="P17" s="19">
        <v>28000</v>
      </c>
      <c r="Q17" s="20">
        <f>VALUE(SUBSTITUTE(CollegeData[[#This Row],[AVERAGE PACKAGE LPA]]," LPA",""))</f>
        <v>4</v>
      </c>
    </row>
    <row r="18" spans="1:17" x14ac:dyDescent="0.3">
      <c r="A18" s="3" t="s">
        <v>50</v>
      </c>
      <c r="B18" s="4" t="s">
        <v>18</v>
      </c>
      <c r="C18" s="4" t="s">
        <v>17</v>
      </c>
      <c r="D18" s="4" t="s">
        <v>51</v>
      </c>
      <c r="E18" s="15" t="s">
        <v>106</v>
      </c>
      <c r="F18" s="11" t="s">
        <v>170</v>
      </c>
      <c r="G18" s="19">
        <v>300000</v>
      </c>
      <c r="H18" s="19">
        <v>387600</v>
      </c>
      <c r="I18" s="19">
        <f t="shared" si="0"/>
        <v>343800</v>
      </c>
      <c r="J18" s="7" t="s">
        <v>114</v>
      </c>
      <c r="K18" s="15">
        <v>92</v>
      </c>
      <c r="L18" s="7" t="s">
        <v>189</v>
      </c>
      <c r="M18" s="11" t="s">
        <v>206</v>
      </c>
      <c r="N18" s="12" t="s">
        <v>116</v>
      </c>
      <c r="O18" s="4" t="s">
        <v>55</v>
      </c>
      <c r="P18" s="19" t="s">
        <v>117</v>
      </c>
      <c r="Q18" s="20">
        <f>VALUE(SUBSTITUTE(CollegeData[[#This Row],[AVERAGE PACKAGE LPA]]," LPA",""))</f>
        <v>5.2</v>
      </c>
    </row>
    <row r="19" spans="1:17" x14ac:dyDescent="0.3">
      <c r="A19" s="3" t="s">
        <v>25</v>
      </c>
      <c r="B19" s="4" t="s">
        <v>18</v>
      </c>
      <c r="C19" s="4" t="s">
        <v>26</v>
      </c>
      <c r="D19" s="4" t="s">
        <v>73</v>
      </c>
      <c r="E19" s="15">
        <v>23</v>
      </c>
      <c r="F19" s="11" t="s">
        <v>118</v>
      </c>
      <c r="G19" s="19">
        <v>101000</v>
      </c>
      <c r="H19" s="19">
        <v>241000</v>
      </c>
      <c r="I19" s="19">
        <f t="shared" si="0"/>
        <v>171000</v>
      </c>
      <c r="J19" s="7" t="s">
        <v>62</v>
      </c>
      <c r="K19" s="15">
        <v>94</v>
      </c>
      <c r="L19" s="7" t="s">
        <v>119</v>
      </c>
      <c r="M19" s="11" t="s">
        <v>120</v>
      </c>
      <c r="N19" s="12" t="s">
        <v>121</v>
      </c>
      <c r="O19" s="4" t="s">
        <v>55</v>
      </c>
      <c r="P19" s="19" t="s">
        <v>122</v>
      </c>
      <c r="Q19" s="20">
        <f>VALUE(SUBSTITUTE(CollegeData[[#This Row],[AVERAGE PACKAGE LPA]]," LPA",""))</f>
        <v>9.08</v>
      </c>
    </row>
    <row r="20" spans="1:17" x14ac:dyDescent="0.3">
      <c r="A20" s="3" t="s">
        <v>34</v>
      </c>
      <c r="B20" s="4" t="s">
        <v>18</v>
      </c>
      <c r="C20" s="4" t="s">
        <v>17</v>
      </c>
      <c r="D20" s="4" t="s">
        <v>73</v>
      </c>
      <c r="E20" s="15" t="s">
        <v>123</v>
      </c>
      <c r="F20" s="11" t="s">
        <v>125</v>
      </c>
      <c r="G20" s="19">
        <v>445000</v>
      </c>
      <c r="H20" s="19">
        <v>464800</v>
      </c>
      <c r="I20" s="19">
        <f t="shared" si="0"/>
        <v>454900</v>
      </c>
      <c r="J20" s="7" t="s">
        <v>126</v>
      </c>
      <c r="K20" s="15">
        <v>78</v>
      </c>
      <c r="L20" s="7" t="s">
        <v>190</v>
      </c>
      <c r="M20" s="11" t="s">
        <v>124</v>
      </c>
      <c r="N20" s="12" t="s">
        <v>77</v>
      </c>
      <c r="O20" s="4" t="s">
        <v>55</v>
      </c>
      <c r="P20" s="19">
        <v>84000</v>
      </c>
      <c r="Q20" s="20">
        <f>VALUE(SUBSTITUTE(CollegeData[[#This Row],[AVERAGE PACKAGE LPA]]," LPA",""))</f>
        <v>5.7</v>
      </c>
    </row>
    <row r="21" spans="1:17" x14ac:dyDescent="0.3">
      <c r="A21" s="3" t="s">
        <v>33</v>
      </c>
      <c r="B21" s="4" t="s">
        <v>27</v>
      </c>
      <c r="C21" s="4" t="s">
        <v>17</v>
      </c>
      <c r="D21" s="4" t="s">
        <v>95</v>
      </c>
      <c r="E21" s="15">
        <v>59</v>
      </c>
      <c r="F21" s="11" t="s">
        <v>127</v>
      </c>
      <c r="G21" s="19">
        <v>200000</v>
      </c>
      <c r="H21" s="19">
        <v>300000</v>
      </c>
      <c r="I21" s="19">
        <f t="shared" si="0"/>
        <v>250000</v>
      </c>
      <c r="J21" s="7" t="s">
        <v>128</v>
      </c>
      <c r="K21" s="15">
        <v>93</v>
      </c>
      <c r="L21" s="7" t="s">
        <v>191</v>
      </c>
      <c r="M21" s="11" t="s">
        <v>129</v>
      </c>
      <c r="N21" s="12" t="s">
        <v>130</v>
      </c>
      <c r="O21" s="4" t="s">
        <v>55</v>
      </c>
      <c r="P21" s="19" t="s">
        <v>131</v>
      </c>
      <c r="Q21" s="20">
        <f>VALUE(SUBSTITUTE(CollegeData[[#This Row],[AVERAGE PACKAGE LPA]]," LPA",""))</f>
        <v>5.16</v>
      </c>
    </row>
    <row r="22" spans="1:17" x14ac:dyDescent="0.3">
      <c r="A22" s="3" t="s">
        <v>32</v>
      </c>
      <c r="B22" s="4" t="s">
        <v>18</v>
      </c>
      <c r="C22" s="4" t="s">
        <v>13</v>
      </c>
      <c r="D22" s="4" t="s">
        <v>51</v>
      </c>
      <c r="E22" s="15">
        <v>160</v>
      </c>
      <c r="F22" s="11" t="s">
        <v>169</v>
      </c>
      <c r="G22" s="19">
        <v>450000</v>
      </c>
      <c r="H22" s="19">
        <v>496600</v>
      </c>
      <c r="I22" s="19">
        <f t="shared" si="0"/>
        <v>473300</v>
      </c>
      <c r="J22" s="7" t="s">
        <v>167</v>
      </c>
      <c r="K22" s="15">
        <v>78</v>
      </c>
      <c r="L22" s="7" t="s">
        <v>192</v>
      </c>
      <c r="M22" s="11" t="s">
        <v>132</v>
      </c>
      <c r="N22" s="12" t="s">
        <v>133</v>
      </c>
      <c r="O22" s="4" t="s">
        <v>55</v>
      </c>
      <c r="P22" s="19" t="s">
        <v>134</v>
      </c>
      <c r="Q22" s="20">
        <f>VALUE(SUBSTITUTE(CollegeData[[#This Row],[AVERAGE PACKAGE LPA]]," LPA",""))</f>
        <v>6</v>
      </c>
    </row>
    <row r="23" spans="1:17" x14ac:dyDescent="0.3">
      <c r="A23" s="3" t="s">
        <v>31</v>
      </c>
      <c r="B23" s="4" t="s">
        <v>16</v>
      </c>
      <c r="C23" s="4" t="s">
        <v>13</v>
      </c>
      <c r="D23" s="4" t="s">
        <v>73</v>
      </c>
      <c r="E23" s="15">
        <v>20</v>
      </c>
      <c r="F23" s="11" t="s">
        <v>135</v>
      </c>
      <c r="G23" s="19">
        <v>131400</v>
      </c>
      <c r="H23" s="19">
        <v>209800</v>
      </c>
      <c r="I23" s="19">
        <f t="shared" si="0"/>
        <v>170600</v>
      </c>
      <c r="J23" s="7" t="s">
        <v>136</v>
      </c>
      <c r="K23" s="15">
        <v>69</v>
      </c>
      <c r="L23" s="7" t="s">
        <v>193</v>
      </c>
      <c r="M23" s="11" t="s">
        <v>137</v>
      </c>
      <c r="N23" s="12" t="s">
        <v>138</v>
      </c>
      <c r="O23" s="4" t="s">
        <v>55</v>
      </c>
      <c r="P23" s="19">
        <v>42625</v>
      </c>
      <c r="Q23" s="20">
        <f>VALUE(SUBSTITUTE(CollegeData[[#This Row],[AVERAGE PACKAGE LPA]]," LPA",""))</f>
        <v>9.84</v>
      </c>
    </row>
    <row r="24" spans="1:17" x14ac:dyDescent="0.3">
      <c r="A24" s="3" t="s">
        <v>212</v>
      </c>
      <c r="B24" s="4" t="s">
        <v>27</v>
      </c>
      <c r="C24" s="4" t="s">
        <v>17</v>
      </c>
      <c r="D24" s="4" t="s">
        <v>95</v>
      </c>
      <c r="E24" s="15">
        <v>141</v>
      </c>
      <c r="F24" s="11" t="s">
        <v>213</v>
      </c>
      <c r="G24" s="19">
        <v>348000</v>
      </c>
      <c r="H24" s="19">
        <v>688000</v>
      </c>
      <c r="I24" s="19">
        <f>AVERAGE(G24:H24)</f>
        <v>518000</v>
      </c>
      <c r="J24" s="7" t="s">
        <v>214</v>
      </c>
      <c r="K24" s="15">
        <v>89</v>
      </c>
      <c r="L24" s="7" t="s">
        <v>215</v>
      </c>
      <c r="M24" s="11" t="s">
        <v>216</v>
      </c>
      <c r="N24" s="8" t="s">
        <v>87</v>
      </c>
      <c r="O24" s="4" t="s">
        <v>55</v>
      </c>
      <c r="P24" s="19" t="s">
        <v>217</v>
      </c>
      <c r="Q24" s="20">
        <f>VALUE(SUBSTITUTE(CollegeData[[#This Row],[AVERAGE PACKAGE LPA]]," LPA",""))</f>
        <v>4.1399999999999997</v>
      </c>
    </row>
    <row r="25" spans="1:17" x14ac:dyDescent="0.3">
      <c r="A25" s="3" t="s">
        <v>28</v>
      </c>
      <c r="B25" s="4" t="s">
        <v>16</v>
      </c>
      <c r="C25" s="4" t="s">
        <v>26</v>
      </c>
      <c r="D25" s="4" t="s">
        <v>73</v>
      </c>
      <c r="E25" s="15">
        <v>53</v>
      </c>
      <c r="F25" s="11" t="s">
        <v>139</v>
      </c>
      <c r="G25" s="19">
        <v>600000</v>
      </c>
      <c r="H25" s="19">
        <v>1420000</v>
      </c>
      <c r="I25" s="19">
        <f t="shared" si="0"/>
        <v>1010000</v>
      </c>
      <c r="J25" s="7" t="s">
        <v>62</v>
      </c>
      <c r="K25" s="24" t="s">
        <v>218</v>
      </c>
      <c r="L25" s="7" t="s">
        <v>140</v>
      </c>
      <c r="M25" s="11" t="s">
        <v>141</v>
      </c>
      <c r="N25" s="12" t="s">
        <v>104</v>
      </c>
      <c r="O25" s="4" t="s">
        <v>55</v>
      </c>
      <c r="P25" s="19" t="s">
        <v>142</v>
      </c>
      <c r="Q25" s="20">
        <f>VALUE(SUBSTITUTE(CollegeData[[#This Row],[AVERAGE PACKAGE LPA]]," LPA",""))</f>
        <v>5.57</v>
      </c>
    </row>
    <row r="26" spans="1:17" x14ac:dyDescent="0.3">
      <c r="A26" s="3" t="s">
        <v>29</v>
      </c>
      <c r="B26" s="4" t="s">
        <v>16</v>
      </c>
      <c r="C26" s="4" t="s">
        <v>26</v>
      </c>
      <c r="D26" s="4" t="s">
        <v>73</v>
      </c>
      <c r="E26" s="15">
        <v>87</v>
      </c>
      <c r="F26" s="11" t="s">
        <v>143</v>
      </c>
      <c r="G26" s="19">
        <v>1240000</v>
      </c>
      <c r="H26" s="19">
        <v>1540000</v>
      </c>
      <c r="I26" s="19">
        <f t="shared" si="0"/>
        <v>1390000</v>
      </c>
      <c r="J26" s="7" t="s">
        <v>62</v>
      </c>
      <c r="K26" s="24">
        <v>70</v>
      </c>
      <c r="L26" s="7" t="s">
        <v>194</v>
      </c>
      <c r="M26" s="11" t="s">
        <v>207</v>
      </c>
      <c r="N26" s="12" t="s">
        <v>144</v>
      </c>
      <c r="O26" s="4" t="s">
        <v>55</v>
      </c>
      <c r="P26" s="19" t="s">
        <v>145</v>
      </c>
      <c r="Q26" s="20">
        <f>VALUE(SUBSTITUTE(CollegeData[[#This Row],[AVERAGE PACKAGE LPA]]," LPA",""))</f>
        <v>5.5</v>
      </c>
    </row>
    <row r="27" spans="1:17" x14ac:dyDescent="0.3">
      <c r="A27" s="3" t="s">
        <v>30</v>
      </c>
      <c r="B27" s="4" t="s">
        <v>18</v>
      </c>
      <c r="C27" s="4" t="s">
        <v>17</v>
      </c>
      <c r="D27" s="4" t="s">
        <v>95</v>
      </c>
      <c r="E27" s="15" t="s">
        <v>106</v>
      </c>
      <c r="F27" s="11" t="s">
        <v>146</v>
      </c>
      <c r="G27" s="19">
        <v>540000</v>
      </c>
      <c r="H27" s="19">
        <v>560000</v>
      </c>
      <c r="I27" s="19">
        <f t="shared" si="0"/>
        <v>550000</v>
      </c>
      <c r="J27" s="7" t="s">
        <v>147</v>
      </c>
      <c r="K27" s="15">
        <v>90</v>
      </c>
      <c r="L27" s="7" t="s">
        <v>195</v>
      </c>
      <c r="M27" s="11" t="s">
        <v>148</v>
      </c>
      <c r="N27" s="8" t="s">
        <v>87</v>
      </c>
      <c r="O27" s="4" t="s">
        <v>55</v>
      </c>
      <c r="P27" s="19" t="s">
        <v>149</v>
      </c>
      <c r="Q27" s="20">
        <f>VALUE(SUBSTITUTE(CollegeData[[#This Row],[AVERAGE PACKAGE LPA]]," LPA",""))</f>
        <v>7.96</v>
      </c>
    </row>
    <row r="28" spans="1:17" x14ac:dyDescent="0.3">
      <c r="A28" s="3" t="s">
        <v>35</v>
      </c>
      <c r="B28" s="4" t="s">
        <v>22</v>
      </c>
      <c r="C28" s="4" t="s">
        <v>17</v>
      </c>
      <c r="D28" s="4" t="s">
        <v>73</v>
      </c>
      <c r="E28" s="15">
        <v>47</v>
      </c>
      <c r="F28" s="11" t="s">
        <v>150</v>
      </c>
      <c r="G28" s="19">
        <v>880000</v>
      </c>
      <c r="H28" s="19">
        <v>900000</v>
      </c>
      <c r="I28" s="19">
        <f t="shared" si="0"/>
        <v>890000</v>
      </c>
      <c r="J28" s="7" t="s">
        <v>171</v>
      </c>
      <c r="K28" s="15">
        <v>95</v>
      </c>
      <c r="L28" s="7" t="s">
        <v>151</v>
      </c>
      <c r="M28" s="11" t="s">
        <v>152</v>
      </c>
      <c r="N28" s="12" t="s">
        <v>153</v>
      </c>
      <c r="O28" s="4" t="s">
        <v>55</v>
      </c>
      <c r="P28" s="19">
        <v>96000</v>
      </c>
      <c r="Q28" s="20">
        <f>VALUE(SUBSTITUTE(CollegeData[[#This Row],[AVERAGE PACKAGE LPA]]," LPA",""))</f>
        <v>10.5</v>
      </c>
    </row>
    <row r="29" spans="1:17" x14ac:dyDescent="0.3">
      <c r="A29" s="3" t="s">
        <v>36</v>
      </c>
      <c r="B29" s="4" t="s">
        <v>37</v>
      </c>
      <c r="C29" s="4" t="s">
        <v>13</v>
      </c>
      <c r="D29" s="4" t="s">
        <v>73</v>
      </c>
      <c r="E29" s="15">
        <v>9</v>
      </c>
      <c r="F29" s="11" t="s">
        <v>154</v>
      </c>
      <c r="G29" s="19">
        <v>905000</v>
      </c>
      <c r="H29" s="19">
        <v>920000</v>
      </c>
      <c r="I29" s="19">
        <f t="shared" si="0"/>
        <v>912500</v>
      </c>
      <c r="J29" s="7" t="s">
        <v>62</v>
      </c>
      <c r="K29" s="24">
        <v>89</v>
      </c>
      <c r="L29" s="7" t="s">
        <v>155</v>
      </c>
      <c r="M29" s="11" t="s">
        <v>156</v>
      </c>
      <c r="N29" s="12" t="s">
        <v>157</v>
      </c>
      <c r="O29" s="4" t="s">
        <v>55</v>
      </c>
      <c r="P29" s="19" t="s">
        <v>158</v>
      </c>
      <c r="Q29" s="20">
        <f>VALUE(SUBSTITUTE(CollegeData[[#This Row],[AVERAGE PACKAGE LPA]]," LPA",""))</f>
        <v>18.73</v>
      </c>
    </row>
    <row r="30" spans="1:17" x14ac:dyDescent="0.3">
      <c r="A30" s="3" t="s">
        <v>38</v>
      </c>
      <c r="B30" s="4" t="s">
        <v>39</v>
      </c>
      <c r="C30" s="4" t="s">
        <v>26</v>
      </c>
      <c r="D30" s="4" t="s">
        <v>73</v>
      </c>
      <c r="E30" s="15">
        <v>48</v>
      </c>
      <c r="F30" s="11" t="s">
        <v>159</v>
      </c>
      <c r="G30" s="19">
        <v>640000</v>
      </c>
      <c r="H30" s="19">
        <v>780000</v>
      </c>
      <c r="I30" s="19">
        <f t="shared" si="0"/>
        <v>710000</v>
      </c>
      <c r="J30" s="7" t="s">
        <v>168</v>
      </c>
      <c r="K30" s="24">
        <v>94</v>
      </c>
      <c r="L30" s="7" t="s">
        <v>160</v>
      </c>
      <c r="M30" s="11" t="s">
        <v>137</v>
      </c>
      <c r="N30" s="12" t="s">
        <v>161</v>
      </c>
      <c r="O30" s="4" t="s">
        <v>55</v>
      </c>
      <c r="P30" s="19" t="s">
        <v>162</v>
      </c>
      <c r="Q30" s="20">
        <f>VALUE(SUBSTITUTE(CollegeData[[#This Row],[AVERAGE PACKAGE LPA]]," LPA",""))</f>
        <v>4.5</v>
      </c>
    </row>
    <row r="31" spans="1:17" x14ac:dyDescent="0.3">
      <c r="A31" s="3" t="s">
        <v>40</v>
      </c>
      <c r="B31" s="4" t="s">
        <v>16</v>
      </c>
      <c r="C31" s="4" t="s">
        <v>13</v>
      </c>
      <c r="D31" s="4" t="s">
        <v>73</v>
      </c>
      <c r="E31" s="15">
        <v>1</v>
      </c>
      <c r="F31" s="11" t="s">
        <v>163</v>
      </c>
      <c r="G31" s="19">
        <v>895000</v>
      </c>
      <c r="H31" s="19">
        <v>939000</v>
      </c>
      <c r="I31" s="19">
        <f t="shared" si="0"/>
        <v>917000</v>
      </c>
      <c r="J31" s="7" t="s">
        <v>62</v>
      </c>
      <c r="K31" s="24">
        <v>90</v>
      </c>
      <c r="L31" s="7" t="s">
        <v>196</v>
      </c>
      <c r="M31" s="11" t="s">
        <v>164</v>
      </c>
      <c r="N31" s="12" t="s">
        <v>165</v>
      </c>
      <c r="O31" s="4" t="s">
        <v>55</v>
      </c>
      <c r="P31" s="19" t="s">
        <v>166</v>
      </c>
      <c r="Q31" s="20">
        <f>VALUE(SUBSTITUTE(CollegeData[[#This Row],[AVERAGE PACKAGE LPA]]," LPA",""))</f>
        <v>24.2</v>
      </c>
    </row>
    <row r="34" spans="5:7" x14ac:dyDescent="0.3">
      <c r="E34"/>
      <c r="F34"/>
      <c r="G3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B2E3-F242-42AE-8373-AC6145A5CEDB}">
  <dimension ref="A1:N31"/>
  <sheetViews>
    <sheetView topLeftCell="D1" workbookViewId="0">
      <selection activeCell="B28" sqref="B28"/>
    </sheetView>
  </sheetViews>
  <sheetFormatPr defaultRowHeight="14.4" x14ac:dyDescent="0.3"/>
  <cols>
    <col min="1" max="1" width="49.77734375" bestFit="1" customWidth="1"/>
    <col min="2" max="3" width="26.77734375" style="20" customWidth="1"/>
    <col min="4" max="5" width="24" customWidth="1"/>
    <col min="6" max="7" width="25.6640625" style="13" customWidth="1"/>
    <col min="8" max="8" width="20.77734375" style="16" customWidth="1"/>
    <col min="9" max="9" width="27.21875" style="20" customWidth="1"/>
    <col min="10" max="10" width="20.77734375" style="20" customWidth="1"/>
    <col min="11" max="11" width="28.109375" style="20" customWidth="1"/>
    <col min="12" max="12" width="21.77734375" style="20" customWidth="1"/>
    <col min="13" max="13" width="20.77734375" customWidth="1"/>
  </cols>
  <sheetData>
    <row r="1" spans="1:14" ht="15.6" x14ac:dyDescent="0.3">
      <c r="A1" s="25" t="s">
        <v>0</v>
      </c>
      <c r="B1" s="25" t="s">
        <v>1</v>
      </c>
      <c r="C1" s="25" t="s">
        <v>2</v>
      </c>
      <c r="D1" s="25" t="s">
        <v>3</v>
      </c>
      <c r="E1" s="25" t="s">
        <v>6</v>
      </c>
      <c r="F1" s="26" t="s">
        <v>176</v>
      </c>
      <c r="G1" s="27" t="s">
        <v>8</v>
      </c>
      <c r="H1" s="27" t="s">
        <v>211</v>
      </c>
      <c r="I1" s="28" t="s">
        <v>7</v>
      </c>
      <c r="J1" s="25" t="s">
        <v>172</v>
      </c>
      <c r="K1" s="25" t="s">
        <v>173</v>
      </c>
      <c r="L1" s="25" t="s">
        <v>174</v>
      </c>
      <c r="M1" s="25" t="s">
        <v>175</v>
      </c>
      <c r="N1" s="21"/>
    </row>
    <row r="2" spans="1:14" x14ac:dyDescent="0.3">
      <c r="A2" s="5" t="str">
        <f>Raw_Data!A2</f>
        <v>A.V.P COLLEGE OF ARTS AND SCIENCE</v>
      </c>
      <c r="B2" s="4" t="str">
        <f>Raw_Data!B2</f>
        <v>TIRUPUR</v>
      </c>
      <c r="C2" s="4" t="str">
        <f>Raw_Data!C2</f>
        <v>PRIVATE</v>
      </c>
      <c r="D2" s="4" t="str">
        <f>Raw_Data!D2</f>
        <v>A</v>
      </c>
      <c r="E2" s="7" t="str">
        <f>Raw_Data!J2</f>
        <v>NOT APPLICABLE</v>
      </c>
      <c r="F2" s="19">
        <f>Raw_Data!I2</f>
        <v>792500</v>
      </c>
      <c r="G2" s="7" t="str">
        <f>Raw_Data!L2</f>
        <v>1.4 LPA</v>
      </c>
      <c r="H2" s="7">
        <f>VALUE(SUBSTITUTE(SUBSTITUTE(G2," LPA",""),"LPA",""))</f>
        <v>1.4</v>
      </c>
      <c r="I2" s="15">
        <f>Raw_Data!K2</f>
        <v>70</v>
      </c>
      <c r="J2" s="20">
        <f>IFERROR((VALUE(SUBSTITUTE(SUBSTITUTE(G2," LPA",""),"LPA",""))*100000)/VALUE(F2),0)</f>
        <v>0.17665615141955837</v>
      </c>
      <c r="K2" s="20" t="str">
        <f>IF(F2&lt;=400000,"Budget Friendly","High Cost")</f>
        <v>High Cost</v>
      </c>
      <c r="L2" s="20" t="str">
        <f>IF(I2&gt;=80,"High Placement","Low placement")</f>
        <v>Low placement</v>
      </c>
      <c r="M2" s="20" t="str">
        <f>IF(AND(F2&lt;=400000,I2&gt;=80),"Recommended","Compare More")</f>
        <v>Compare More</v>
      </c>
    </row>
    <row r="3" spans="1:14" x14ac:dyDescent="0.3">
      <c r="A3" s="5" t="str">
        <f>Raw_Data!A3</f>
        <v>PARK'S COLLEGE</v>
      </c>
      <c r="B3" s="4" t="str">
        <f>Raw_Data!B3</f>
        <v>TIRUPUR</v>
      </c>
      <c r="C3" s="4" t="str">
        <f>Raw_Data!C3</f>
        <v>PRIVATE</v>
      </c>
      <c r="D3" s="4" t="str">
        <f>Raw_Data!D3</f>
        <v>A</v>
      </c>
      <c r="E3" s="7" t="str">
        <f>Raw_Data!J3</f>
        <v>NOT APPLICABLE</v>
      </c>
      <c r="F3" s="19">
        <f>Raw_Data!I3</f>
        <v>128000</v>
      </c>
      <c r="G3" s="7" t="str">
        <f>Raw_Data!L3</f>
        <v xml:space="preserve"> 1.29 LPA</v>
      </c>
      <c r="H3" s="7">
        <f t="shared" ref="H3:H31" si="0">VALUE(SUBSTITUTE(SUBSTITUTE(G3," LPA",""),"LPA",""))</f>
        <v>1.29</v>
      </c>
      <c r="I3" s="15">
        <f>Raw_Data!K3</f>
        <v>72.5</v>
      </c>
      <c r="J3" s="20">
        <f t="shared" ref="J3:J31" si="1">IFERROR((VALUE(SUBSTITUTE(SUBSTITUTE(G3," LPA",""),"LPA",""))*100000)/VALUE(F3),0)</f>
        <v>1.0078125</v>
      </c>
      <c r="K3" s="20" t="str">
        <f t="shared" ref="K3:K31" si="2">IF(F3&lt;=400000,"Budget Friendly","High Cost")</f>
        <v>Budget Friendly</v>
      </c>
      <c r="L3" s="20" t="str">
        <f t="shared" ref="L3:L31" si="3">IF(I3&gt;=80,"High Placement","Low placement")</f>
        <v>Low placement</v>
      </c>
      <c r="M3" s="20" t="str">
        <f t="shared" ref="M3:M31" si="4">IF(AND(F3&lt;=400000,I3&gt;=80),"Recommended","Compare More")</f>
        <v>Compare More</v>
      </c>
    </row>
    <row r="4" spans="1:14" x14ac:dyDescent="0.3">
      <c r="A4" s="5" t="str">
        <f>Raw_Data!A4</f>
        <v>CHERAN COLLEGE OF ARTS AND SCIENCE</v>
      </c>
      <c r="B4" s="4" t="str">
        <f>Raw_Data!B4</f>
        <v>TIRUPUR</v>
      </c>
      <c r="C4" s="4" t="str">
        <f>Raw_Data!C4</f>
        <v>PRIVATE</v>
      </c>
      <c r="D4" s="4" t="str">
        <f>Raw_Data!D4</f>
        <v>B++</v>
      </c>
      <c r="E4" s="7" t="str">
        <f>Raw_Data!J4</f>
        <v>NOT APPLICABLE</v>
      </c>
      <c r="F4" s="19">
        <f>Raw_Data!I4</f>
        <v>105000</v>
      </c>
      <c r="G4" s="7" t="str">
        <f>Raw_Data!L4</f>
        <v>3.0 LPA</v>
      </c>
      <c r="H4" s="7">
        <f t="shared" si="0"/>
        <v>3</v>
      </c>
      <c r="I4" s="15">
        <f>Raw_Data!K4</f>
        <v>75</v>
      </c>
      <c r="J4" s="20">
        <f t="shared" si="1"/>
        <v>2.8571428571428572</v>
      </c>
      <c r="K4" s="20" t="str">
        <f t="shared" si="2"/>
        <v>Budget Friendly</v>
      </c>
      <c r="L4" s="20" t="str">
        <f t="shared" si="3"/>
        <v>Low placement</v>
      </c>
      <c r="M4" s="20" t="str">
        <f t="shared" si="4"/>
        <v>Compare More</v>
      </c>
    </row>
    <row r="5" spans="1:14" x14ac:dyDescent="0.3">
      <c r="A5" s="5" t="str">
        <f>Raw_Data!A5</f>
        <v>LRG COLLEGE OF ARTS AND SCIENCE FOR WOMEN</v>
      </c>
      <c r="B5" s="4" t="str">
        <f>Raw_Data!B5</f>
        <v>TIRUPUR</v>
      </c>
      <c r="C5" s="4" t="str">
        <f>Raw_Data!C5</f>
        <v>GOVERNMENT</v>
      </c>
      <c r="D5" s="4" t="str">
        <f>Raw_Data!D5</f>
        <v>B+</v>
      </c>
      <c r="E5" s="7" t="str">
        <f>Raw_Data!J5</f>
        <v>NOT APPLICABLE</v>
      </c>
      <c r="F5" s="19">
        <f>Raw_Data!I5</f>
        <v>6300</v>
      </c>
      <c r="G5" s="7" t="str">
        <f>Raw_Data!L5</f>
        <v xml:space="preserve"> 1.5 LPA</v>
      </c>
      <c r="H5" s="7">
        <f t="shared" si="0"/>
        <v>1.5</v>
      </c>
      <c r="I5" s="15">
        <f>Raw_Data!K5</f>
        <v>70</v>
      </c>
      <c r="J5" s="20">
        <f t="shared" si="1"/>
        <v>23.80952380952381</v>
      </c>
      <c r="K5" s="20" t="str">
        <f t="shared" si="2"/>
        <v>Budget Friendly</v>
      </c>
      <c r="L5" s="20" t="str">
        <f t="shared" si="3"/>
        <v>Low placement</v>
      </c>
      <c r="M5" s="20" t="str">
        <f t="shared" si="4"/>
        <v>Compare More</v>
      </c>
    </row>
    <row r="6" spans="1:14" x14ac:dyDescent="0.3">
      <c r="A6" s="5" t="str">
        <f>Raw_Data!A6</f>
        <v>CHIKKANNA ARTS COLLEGE</v>
      </c>
      <c r="B6" s="4" t="str">
        <f>Raw_Data!B6</f>
        <v>TIRUPUR</v>
      </c>
      <c r="C6" s="4" t="str">
        <f>Raw_Data!C6</f>
        <v>GOVERNMENT</v>
      </c>
      <c r="D6" s="4" t="str">
        <f>Raw_Data!D6</f>
        <v>B++</v>
      </c>
      <c r="E6" s="7" t="str">
        <f>Raw_Data!J6</f>
        <v>NOT APPLICABLE</v>
      </c>
      <c r="F6" s="19">
        <f>Raw_Data!I6</f>
        <v>5745</v>
      </c>
      <c r="G6" s="7" t="str">
        <f>Raw_Data!L6</f>
        <v>1.84 LPA</v>
      </c>
      <c r="H6" s="7">
        <f t="shared" si="0"/>
        <v>1.84</v>
      </c>
      <c r="I6" s="15">
        <f>Raw_Data!K6</f>
        <v>88</v>
      </c>
      <c r="J6" s="20">
        <f t="shared" si="1"/>
        <v>32.027850304612706</v>
      </c>
      <c r="K6" s="20" t="str">
        <f t="shared" si="2"/>
        <v>Budget Friendly</v>
      </c>
      <c r="L6" s="20" t="str">
        <f t="shared" si="3"/>
        <v>High Placement</v>
      </c>
      <c r="M6" s="20" t="str">
        <f t="shared" si="4"/>
        <v>Recommended</v>
      </c>
    </row>
    <row r="7" spans="1:14" x14ac:dyDescent="0.3">
      <c r="A7" s="5" t="str">
        <f>Raw_Data!A7</f>
        <v>LOYOLA COLLEGE</v>
      </c>
      <c r="B7" s="4" t="str">
        <f>Raw_Data!B7</f>
        <v>CHENNAI</v>
      </c>
      <c r="C7" s="4" t="str">
        <f>Raw_Data!C7</f>
        <v>AUTONOMOUS</v>
      </c>
      <c r="D7" s="4" t="str">
        <f>Raw_Data!D7</f>
        <v>A++</v>
      </c>
      <c r="E7" s="7" t="str">
        <f>Raw_Data!J7</f>
        <v>NOT APPLICABLE</v>
      </c>
      <c r="F7" s="19">
        <f>Raw_Data!I7</f>
        <v>321500</v>
      </c>
      <c r="G7" s="7" t="str">
        <f>Raw_Data!L7</f>
        <v xml:space="preserve"> 6.34 LPA</v>
      </c>
      <c r="H7" s="7">
        <f t="shared" si="0"/>
        <v>6.34</v>
      </c>
      <c r="I7" s="15">
        <f>Raw_Data!K7</f>
        <v>95</v>
      </c>
      <c r="J7" s="20">
        <f t="shared" si="1"/>
        <v>1.9720062208398135</v>
      </c>
      <c r="K7" s="20" t="str">
        <f t="shared" si="2"/>
        <v>Budget Friendly</v>
      </c>
      <c r="L7" s="20" t="str">
        <f t="shared" si="3"/>
        <v>High Placement</v>
      </c>
      <c r="M7" s="20" t="str">
        <f t="shared" si="4"/>
        <v>Recommended</v>
      </c>
    </row>
    <row r="8" spans="1:14" x14ac:dyDescent="0.3">
      <c r="A8" s="5" t="str">
        <f>Raw_Data!A8</f>
        <v>PSG COLLEGE OF ARTS AND SCIENCE</v>
      </c>
      <c r="B8" s="4" t="str">
        <f>Raw_Data!B8</f>
        <v>COIMBATORE</v>
      </c>
      <c r="C8" s="4" t="str">
        <f>Raw_Data!C8</f>
        <v>AUTONOMOUS</v>
      </c>
      <c r="D8" s="4" t="str">
        <f>Raw_Data!D8</f>
        <v>A++</v>
      </c>
      <c r="E8" s="7" t="str">
        <f>Raw_Data!J8</f>
        <v>NOT APPLICABLE</v>
      </c>
      <c r="F8" s="19">
        <f>Raw_Data!I8</f>
        <v>195000</v>
      </c>
      <c r="G8" s="7" t="str">
        <f>Raw_Data!L8</f>
        <v>3.83 LPA</v>
      </c>
      <c r="H8" s="7">
        <f t="shared" si="0"/>
        <v>3.83</v>
      </c>
      <c r="I8" s="15">
        <f>Raw_Data!K8</f>
        <v>83</v>
      </c>
      <c r="J8" s="20">
        <f t="shared" si="1"/>
        <v>1.964102564102564</v>
      </c>
      <c r="K8" s="20" t="str">
        <f t="shared" si="2"/>
        <v>Budget Friendly</v>
      </c>
      <c r="L8" s="20" t="str">
        <f t="shared" si="3"/>
        <v>High Placement</v>
      </c>
      <c r="M8" s="20" t="str">
        <f t="shared" si="4"/>
        <v>Recommended</v>
      </c>
    </row>
    <row r="9" spans="1:14" x14ac:dyDescent="0.3">
      <c r="A9" s="5" t="str">
        <f>Raw_Data!A9</f>
        <v>Dr.N.G.P COLEEGE OF ARTS AND SCIENCE</v>
      </c>
      <c r="B9" s="4" t="str">
        <f>Raw_Data!B9</f>
        <v>COIMBATORE</v>
      </c>
      <c r="C9" s="4" t="str">
        <f>Raw_Data!C9</f>
        <v>AUTONOMOUS</v>
      </c>
      <c r="D9" s="4" t="str">
        <f>Raw_Data!D9</f>
        <v>A++</v>
      </c>
      <c r="E9" s="7" t="str">
        <f>Raw_Data!J9</f>
        <v>NOT APPLICABLE</v>
      </c>
      <c r="F9" s="19">
        <f>Raw_Data!I9</f>
        <v>225000</v>
      </c>
      <c r="G9" s="7" t="str">
        <f>Raw_Data!L9</f>
        <v>3.7 LPA</v>
      </c>
      <c r="H9" s="7">
        <f t="shared" si="0"/>
        <v>3.7</v>
      </c>
      <c r="I9" s="15">
        <f>Raw_Data!K9</f>
        <v>90</v>
      </c>
      <c r="J9" s="20">
        <f t="shared" si="1"/>
        <v>1.6444444444444444</v>
      </c>
      <c r="K9" s="20" t="str">
        <f t="shared" si="2"/>
        <v>Budget Friendly</v>
      </c>
      <c r="L9" s="20" t="str">
        <f t="shared" si="3"/>
        <v>High Placement</v>
      </c>
      <c r="M9" s="20" t="str">
        <f t="shared" si="4"/>
        <v>Recommended</v>
      </c>
    </row>
    <row r="10" spans="1:14" x14ac:dyDescent="0.3">
      <c r="A10" s="5" t="str">
        <f>Raw_Data!A10</f>
        <v>AMERICAN COLLEGE</v>
      </c>
      <c r="B10" s="4" t="str">
        <f>Raw_Data!B10</f>
        <v>MADURAI</v>
      </c>
      <c r="C10" s="4" t="str">
        <f>Raw_Data!C10</f>
        <v>AUTONOMOUS</v>
      </c>
      <c r="D10" s="4" t="str">
        <f>Raw_Data!D10</f>
        <v>A++</v>
      </c>
      <c r="E10" s="7" t="str">
        <f>Raw_Data!J10</f>
        <v>NOT APPLICABLE</v>
      </c>
      <c r="F10" s="19">
        <f>Raw_Data!I10</f>
        <v>143500</v>
      </c>
      <c r="G10" s="7" t="str">
        <f>Raw_Data!L10</f>
        <v>2.10 LPA</v>
      </c>
      <c r="H10" s="7">
        <f t="shared" si="0"/>
        <v>2.1</v>
      </c>
      <c r="I10" s="15">
        <f>Raw_Data!K10</f>
        <v>60</v>
      </c>
      <c r="J10" s="20">
        <f t="shared" si="1"/>
        <v>1.4634146341463414</v>
      </c>
      <c r="K10" s="20" t="str">
        <f t="shared" si="2"/>
        <v>Budget Friendly</v>
      </c>
      <c r="L10" s="20" t="str">
        <f t="shared" si="3"/>
        <v>Low placement</v>
      </c>
      <c r="M10" s="20" t="str">
        <f t="shared" si="4"/>
        <v>Compare More</v>
      </c>
    </row>
    <row r="11" spans="1:14" x14ac:dyDescent="0.3">
      <c r="A11" s="5" t="str">
        <f>Raw_Data!A11</f>
        <v>MADRAS CHRISTIAN COLLEGE</v>
      </c>
      <c r="B11" s="4" t="str">
        <f>Raw_Data!B11</f>
        <v>CHENGALPATTU</v>
      </c>
      <c r="C11" s="4" t="str">
        <f>Raw_Data!C11</f>
        <v>AUTONOMOUS</v>
      </c>
      <c r="D11" s="4" t="str">
        <f>Raw_Data!D11</f>
        <v>A</v>
      </c>
      <c r="E11" s="7" t="str">
        <f>Raw_Data!J11</f>
        <v>NOT APPLICABLE</v>
      </c>
      <c r="F11" s="19">
        <f>Raw_Data!I11</f>
        <v>146880</v>
      </c>
      <c r="G11" s="7" t="str">
        <f>Raw_Data!L11</f>
        <v>3.60 LPA</v>
      </c>
      <c r="H11" s="7">
        <f t="shared" si="0"/>
        <v>3.6</v>
      </c>
      <c r="I11" s="15">
        <f>Raw_Data!K11</f>
        <v>90</v>
      </c>
      <c r="J11" s="20">
        <f t="shared" si="1"/>
        <v>2.4509803921568629</v>
      </c>
      <c r="K11" s="20" t="str">
        <f t="shared" si="2"/>
        <v>Budget Friendly</v>
      </c>
      <c r="L11" s="20" t="str">
        <f t="shared" si="3"/>
        <v>High Placement</v>
      </c>
      <c r="M11" s="20" t="str">
        <f t="shared" si="4"/>
        <v>Recommended</v>
      </c>
    </row>
    <row r="12" spans="1:14" x14ac:dyDescent="0.3">
      <c r="A12" s="5" t="str">
        <f>Raw_Data!A12</f>
        <v>STELLA MARIS COLLEGE</v>
      </c>
      <c r="B12" s="4" t="str">
        <f>Raw_Data!B12</f>
        <v>CHENNAI</v>
      </c>
      <c r="C12" s="4" t="str">
        <f>Raw_Data!C12</f>
        <v>AUTONOMOUS</v>
      </c>
      <c r="D12" s="4" t="str">
        <f>Raw_Data!D12</f>
        <v>A+</v>
      </c>
      <c r="E12" s="7" t="str">
        <f>Raw_Data!J12</f>
        <v>NOT APPLICABLE</v>
      </c>
      <c r="F12" s="19">
        <f>Raw_Data!I12</f>
        <v>165000</v>
      </c>
      <c r="G12" s="7" t="str">
        <f>Raw_Data!L12</f>
        <v xml:space="preserve"> 4.60 LPA</v>
      </c>
      <c r="H12" s="7">
        <f t="shared" si="0"/>
        <v>4.5999999999999996</v>
      </c>
      <c r="I12" s="15">
        <f>Raw_Data!K12</f>
        <v>45</v>
      </c>
      <c r="J12" s="20">
        <f t="shared" si="1"/>
        <v>2.7878787878787876</v>
      </c>
      <c r="K12" s="20" t="str">
        <f t="shared" si="2"/>
        <v>Budget Friendly</v>
      </c>
      <c r="L12" s="20" t="str">
        <f t="shared" si="3"/>
        <v>Low placement</v>
      </c>
      <c r="M12" s="20" t="str">
        <f t="shared" si="4"/>
        <v>Compare More</v>
      </c>
    </row>
    <row r="13" spans="1:14" x14ac:dyDescent="0.3">
      <c r="A13" s="5" t="str">
        <f>Raw_Data!A13</f>
        <v>AVINASHI GOVERNMENT ARTS AND SCIENCE COLLEGE</v>
      </c>
      <c r="B13" s="4" t="str">
        <f>Raw_Data!B13</f>
        <v>TIRUPUR</v>
      </c>
      <c r="C13" s="4" t="str">
        <f>Raw_Data!C13</f>
        <v>GOVERNMENT</v>
      </c>
      <c r="D13" s="4" t="str">
        <f>Raw_Data!D13</f>
        <v>B</v>
      </c>
      <c r="E13" s="7" t="str">
        <f>Raw_Data!J13</f>
        <v>NOT APPLICABLE</v>
      </c>
      <c r="F13" s="19">
        <f>Raw_Data!I13</f>
        <v>7500</v>
      </c>
      <c r="G13" s="7" t="str">
        <f>Raw_Data!L13</f>
        <v xml:space="preserve"> 1.56 LPA</v>
      </c>
      <c r="H13" s="7">
        <f t="shared" si="0"/>
        <v>1.56</v>
      </c>
      <c r="I13" s="15">
        <f>Raw_Data!K13</f>
        <v>49</v>
      </c>
      <c r="J13" s="20">
        <f t="shared" si="1"/>
        <v>20.8</v>
      </c>
      <c r="K13" s="20" t="str">
        <f t="shared" si="2"/>
        <v>Budget Friendly</v>
      </c>
      <c r="L13" s="20" t="str">
        <f t="shared" si="3"/>
        <v>Low placement</v>
      </c>
      <c r="M13" s="20" t="str">
        <f t="shared" si="4"/>
        <v>Compare More</v>
      </c>
    </row>
    <row r="14" spans="1:14" x14ac:dyDescent="0.3">
      <c r="A14" s="5" t="str">
        <f>Raw_Data!A14</f>
        <v>A.G COLLEGE OF ARTS AND SCIENCE</v>
      </c>
      <c r="B14" s="4" t="str">
        <f>Raw_Data!B14</f>
        <v>TIRUPUR</v>
      </c>
      <c r="C14" s="4" t="str">
        <f>Raw_Data!C14</f>
        <v>PRIVATE</v>
      </c>
      <c r="D14" s="4" t="str">
        <f>Raw_Data!D14</f>
        <v>B+</v>
      </c>
      <c r="E14" s="7" t="str">
        <f>Raw_Data!J14</f>
        <v>NOT APPLICABLE</v>
      </c>
      <c r="F14" s="19">
        <f>Raw_Data!I14</f>
        <v>60000</v>
      </c>
      <c r="G14" s="7" t="str">
        <f>Raw_Data!L14</f>
        <v xml:space="preserve"> 1.5 LPA</v>
      </c>
      <c r="H14" s="7">
        <f t="shared" si="0"/>
        <v>1.5</v>
      </c>
      <c r="I14" s="15">
        <f>Raw_Data!K14</f>
        <v>83</v>
      </c>
      <c r="J14" s="20">
        <f t="shared" si="1"/>
        <v>2.5</v>
      </c>
      <c r="K14" s="20" t="str">
        <f t="shared" si="2"/>
        <v>Budget Friendly</v>
      </c>
      <c r="L14" s="20" t="str">
        <f t="shared" si="3"/>
        <v>High Placement</v>
      </c>
      <c r="M14" s="20" t="str">
        <f t="shared" si="4"/>
        <v>Recommended</v>
      </c>
    </row>
    <row r="15" spans="1:14" x14ac:dyDescent="0.3">
      <c r="A15" s="5" t="str">
        <f>Raw_Data!A15</f>
        <v>KONGUNADU COLLEGE OF ARTS  AND SCIENCE</v>
      </c>
      <c r="B15" s="4" t="str">
        <f>Raw_Data!B15</f>
        <v>COIMBATORE</v>
      </c>
      <c r="C15" s="4" t="str">
        <f>Raw_Data!C15</f>
        <v>AUTONOMOUS</v>
      </c>
      <c r="D15" s="4" t="str">
        <f>Raw_Data!D15</f>
        <v>A+</v>
      </c>
      <c r="E15" s="7" t="str">
        <f>Raw_Data!J15</f>
        <v>NOT APPLICABLE</v>
      </c>
      <c r="F15" s="19">
        <f>Raw_Data!I15</f>
        <v>155000</v>
      </c>
      <c r="G15" s="7" t="str">
        <f>Raw_Data!L15</f>
        <v xml:space="preserve"> 4.0 LPA</v>
      </c>
      <c r="H15" s="7">
        <f t="shared" si="0"/>
        <v>4</v>
      </c>
      <c r="I15" s="15">
        <f>Raw_Data!K15</f>
        <v>95</v>
      </c>
      <c r="J15" s="20">
        <f t="shared" si="1"/>
        <v>2.5806451612903225</v>
      </c>
      <c r="K15" s="20" t="str">
        <f t="shared" si="2"/>
        <v>Budget Friendly</v>
      </c>
      <c r="L15" s="20" t="str">
        <f t="shared" si="3"/>
        <v>High Placement</v>
      </c>
      <c r="M15" s="20" t="str">
        <f t="shared" si="4"/>
        <v>Recommended</v>
      </c>
    </row>
    <row r="16" spans="1:14" x14ac:dyDescent="0.3">
      <c r="A16" s="5" t="str">
        <f>Raw_Data!A16</f>
        <v>THIAGARAJAR COLLEGE</v>
      </c>
      <c r="B16" s="4" t="str">
        <f>Raw_Data!B16</f>
        <v>MADURAI</v>
      </c>
      <c r="C16" s="4" t="str">
        <f>Raw_Data!C16</f>
        <v>AUTONOMOUS</v>
      </c>
      <c r="D16" s="4" t="str">
        <f>Raw_Data!D16</f>
        <v>A++</v>
      </c>
      <c r="E16" s="7" t="str">
        <f>Raw_Data!J16</f>
        <v>NOT APPLICABLE</v>
      </c>
      <c r="F16" s="19">
        <f>Raw_Data!I16</f>
        <v>156000</v>
      </c>
      <c r="G16" s="7" t="str">
        <f>Raw_Data!L16</f>
        <v xml:space="preserve"> 3.4 LPA</v>
      </c>
      <c r="H16" s="7">
        <f t="shared" si="0"/>
        <v>3.4</v>
      </c>
      <c r="I16" s="15">
        <f>Raw_Data!K16</f>
        <v>83</v>
      </c>
      <c r="J16" s="20">
        <f t="shared" si="1"/>
        <v>2.1794871794871793</v>
      </c>
      <c r="K16" s="20" t="str">
        <f t="shared" si="2"/>
        <v>Budget Friendly</v>
      </c>
      <c r="L16" s="20" t="str">
        <f t="shared" si="3"/>
        <v>High Placement</v>
      </c>
      <c r="M16" s="20" t="str">
        <f t="shared" si="4"/>
        <v>Recommended</v>
      </c>
    </row>
    <row r="17" spans="1:13" x14ac:dyDescent="0.3">
      <c r="A17" s="5" t="str">
        <f>Raw_Data!A17</f>
        <v>BUILDER ENGINEERING COLLEGE</v>
      </c>
      <c r="B17" s="4" t="str">
        <f>Raw_Data!B17</f>
        <v>TIRUPUR</v>
      </c>
      <c r="C17" s="4" t="str">
        <f>Raw_Data!C17</f>
        <v>AUTONOMOUS</v>
      </c>
      <c r="D17" s="4" t="str">
        <f>Raw_Data!D17</f>
        <v>A+</v>
      </c>
      <c r="E17" s="7" t="str">
        <f>Raw_Data!J17</f>
        <v>140-165</v>
      </c>
      <c r="F17" s="19">
        <f>Raw_Data!I17</f>
        <v>284000</v>
      </c>
      <c r="G17" s="7" t="str">
        <f>Raw_Data!L17</f>
        <v>4.0 LPA</v>
      </c>
      <c r="H17" s="7">
        <f t="shared" si="0"/>
        <v>4</v>
      </c>
      <c r="I17" s="15">
        <f>Raw_Data!K17</f>
        <v>79</v>
      </c>
      <c r="J17" s="20">
        <f t="shared" si="1"/>
        <v>1.408450704225352</v>
      </c>
      <c r="K17" s="20" t="str">
        <f t="shared" si="2"/>
        <v>Budget Friendly</v>
      </c>
      <c r="L17" s="20" t="str">
        <f t="shared" si="3"/>
        <v>Low placement</v>
      </c>
      <c r="M17" s="20" t="str">
        <f t="shared" si="4"/>
        <v>Compare More</v>
      </c>
    </row>
    <row r="18" spans="1:13" x14ac:dyDescent="0.3">
      <c r="A18" s="5" t="str">
        <f>Raw_Data!A18</f>
        <v>KPR ENGINEERING AND TECHNOLOGY COLLEGE</v>
      </c>
      <c r="B18" s="4" t="str">
        <f>Raw_Data!B18</f>
        <v>COIMBATORE</v>
      </c>
      <c r="C18" s="4" t="str">
        <f>Raw_Data!C18</f>
        <v>AUTONOMOUS</v>
      </c>
      <c r="D18" s="4" t="str">
        <f>Raw_Data!D18</f>
        <v>A</v>
      </c>
      <c r="E18" s="7" t="str">
        <f>Raw_Data!J18</f>
        <v>180-185+</v>
      </c>
      <c r="F18" s="19">
        <f>Raw_Data!I18</f>
        <v>343800</v>
      </c>
      <c r="G18" s="7" t="str">
        <f>Raw_Data!L18</f>
        <v>5.20 LPA</v>
      </c>
      <c r="H18" s="7">
        <f t="shared" si="0"/>
        <v>5.2</v>
      </c>
      <c r="I18" s="15">
        <f>Raw_Data!K18</f>
        <v>92</v>
      </c>
      <c r="J18" s="20">
        <f t="shared" si="1"/>
        <v>1.5125072716695753</v>
      </c>
      <c r="K18" s="20" t="str">
        <f t="shared" si="2"/>
        <v>Budget Friendly</v>
      </c>
      <c r="L18" s="20" t="str">
        <f t="shared" si="3"/>
        <v>High Placement</v>
      </c>
      <c r="M18" s="20" t="str">
        <f t="shared" si="4"/>
        <v>Recommended</v>
      </c>
    </row>
    <row r="19" spans="1:13" x14ac:dyDescent="0.3">
      <c r="A19" s="5" t="str">
        <f>Raw_Data!A19</f>
        <v>AMRITA VISHWA VIDYAPEETHAM</v>
      </c>
      <c r="B19" s="4" t="str">
        <f>Raw_Data!B19</f>
        <v>COIMBATORE</v>
      </c>
      <c r="C19" s="4" t="str">
        <f>Raw_Data!C19</f>
        <v>DEEMED UNIVERSITY</v>
      </c>
      <c r="D19" s="4" t="str">
        <f>Raw_Data!D19</f>
        <v>A++</v>
      </c>
      <c r="E19" s="7" t="str">
        <f>Raw_Data!J19</f>
        <v>NOT APPLICABLE</v>
      </c>
      <c r="F19" s="19">
        <f>Raw_Data!I19</f>
        <v>171000</v>
      </c>
      <c r="G19" s="7" t="str">
        <f>Raw_Data!L19</f>
        <v>9.08 LPA</v>
      </c>
      <c r="H19" s="7">
        <f t="shared" si="0"/>
        <v>9.08</v>
      </c>
      <c r="I19" s="15">
        <f>Raw_Data!K19</f>
        <v>94</v>
      </c>
      <c r="J19" s="20">
        <f t="shared" si="1"/>
        <v>5.3099415204678362</v>
      </c>
      <c r="K19" s="20" t="str">
        <f t="shared" si="2"/>
        <v>Budget Friendly</v>
      </c>
      <c r="L19" s="20" t="str">
        <f t="shared" si="3"/>
        <v>High Placement</v>
      </c>
      <c r="M19" s="20" t="str">
        <f t="shared" si="4"/>
        <v>Recommended</v>
      </c>
    </row>
    <row r="20" spans="1:13" x14ac:dyDescent="0.3">
      <c r="A20" s="5" t="str">
        <f>Raw_Data!A20</f>
        <v>KUMARAGURU COLLEGE OF TECHNOLOGY</v>
      </c>
      <c r="B20" s="4" t="str">
        <f>Raw_Data!B20</f>
        <v>COIMBATORE</v>
      </c>
      <c r="C20" s="4" t="str">
        <f>Raw_Data!C20</f>
        <v>AUTONOMOUS</v>
      </c>
      <c r="D20" s="4" t="str">
        <f>Raw_Data!D20</f>
        <v>A++</v>
      </c>
      <c r="E20" s="7" t="str">
        <f>Raw_Data!J20</f>
        <v>180-188+</v>
      </c>
      <c r="F20" s="19">
        <f>Raw_Data!I20</f>
        <v>454900</v>
      </c>
      <c r="G20" s="7" t="str">
        <f>Raw_Data!L20</f>
        <v xml:space="preserve"> 5.70 LPA</v>
      </c>
      <c r="H20" s="7">
        <f t="shared" si="0"/>
        <v>5.7</v>
      </c>
      <c r="I20" s="15">
        <f>Raw_Data!K20</f>
        <v>78</v>
      </c>
      <c r="J20" s="20">
        <f t="shared" si="1"/>
        <v>1.2530226423389756</v>
      </c>
      <c r="K20" s="20" t="str">
        <f t="shared" si="2"/>
        <v>High Cost</v>
      </c>
      <c r="L20" s="20" t="str">
        <f t="shared" si="3"/>
        <v>Low placement</v>
      </c>
      <c r="M20" s="20" t="str">
        <f t="shared" si="4"/>
        <v>Compare More</v>
      </c>
    </row>
    <row r="21" spans="1:13" x14ac:dyDescent="0.3">
      <c r="A21" s="5" t="str">
        <f>Raw_Data!A21</f>
        <v>BANNARI AMMAN INSTITUTE OF TECHNOLOGY</v>
      </c>
      <c r="B21" s="4" t="str">
        <f>Raw_Data!B21</f>
        <v>ERODE</v>
      </c>
      <c r="C21" s="4" t="str">
        <f>Raw_Data!C21</f>
        <v>AUTONOMOUS</v>
      </c>
      <c r="D21" s="4" t="str">
        <f>Raw_Data!D21</f>
        <v>A+</v>
      </c>
      <c r="E21" s="7" t="str">
        <f>Raw_Data!J21</f>
        <v>~173-189.5</v>
      </c>
      <c r="F21" s="19">
        <f>Raw_Data!I21</f>
        <v>250000</v>
      </c>
      <c r="G21" s="7" t="str">
        <f>Raw_Data!L21</f>
        <v>5.16 LPA</v>
      </c>
      <c r="H21" s="7">
        <f t="shared" si="0"/>
        <v>5.16</v>
      </c>
      <c r="I21" s="15">
        <f>Raw_Data!K21</f>
        <v>93</v>
      </c>
      <c r="J21" s="20">
        <f t="shared" si="1"/>
        <v>2.0640000000000001</v>
      </c>
      <c r="K21" s="20" t="str">
        <f t="shared" si="2"/>
        <v>Budget Friendly</v>
      </c>
      <c r="L21" s="20" t="str">
        <f t="shared" si="3"/>
        <v>High Placement</v>
      </c>
      <c r="M21" s="20" t="str">
        <f t="shared" si="4"/>
        <v>Recommended</v>
      </c>
    </row>
    <row r="22" spans="1:13" x14ac:dyDescent="0.3">
      <c r="A22" s="5" t="str">
        <f>Raw_Data!A22</f>
        <v>GOVERNMENT COLLEGE OF TECHNOLOGY</v>
      </c>
      <c r="B22" s="4" t="str">
        <f>Raw_Data!B22</f>
        <v>COIMBATORE</v>
      </c>
      <c r="C22" s="4" t="str">
        <f>Raw_Data!C22</f>
        <v>GOVERNMENT</v>
      </c>
      <c r="D22" s="4" t="str">
        <f>Raw_Data!D22</f>
        <v>A</v>
      </c>
      <c r="E22" s="7" t="str">
        <f>Raw_Data!J22</f>
        <v>175+</v>
      </c>
      <c r="F22" s="19">
        <f>Raw_Data!I22</f>
        <v>473300</v>
      </c>
      <c r="G22" s="7" t="str">
        <f>Raw_Data!L22</f>
        <v xml:space="preserve"> 6.0 LPA</v>
      </c>
      <c r="H22" s="7">
        <f t="shared" si="0"/>
        <v>6</v>
      </c>
      <c r="I22" s="15">
        <f>Raw_Data!K22</f>
        <v>78</v>
      </c>
      <c r="J22" s="20">
        <f t="shared" si="1"/>
        <v>1.2676949080921192</v>
      </c>
      <c r="K22" s="20" t="str">
        <f t="shared" si="2"/>
        <v>High Cost</v>
      </c>
      <c r="L22" s="20" t="str">
        <f t="shared" si="3"/>
        <v>Low placement</v>
      </c>
      <c r="M22" s="20" t="str">
        <f t="shared" si="4"/>
        <v>Compare More</v>
      </c>
    </row>
    <row r="23" spans="1:13" x14ac:dyDescent="0.3">
      <c r="A23" s="5" t="str">
        <f>Raw_Data!A23</f>
        <v>ANNA UNIVERSITY, CEG CAMPUS</v>
      </c>
      <c r="B23" s="4" t="str">
        <f>Raw_Data!B23</f>
        <v>CHENNAI</v>
      </c>
      <c r="C23" s="4" t="str">
        <f>Raw_Data!C23</f>
        <v>GOVERNMENT</v>
      </c>
      <c r="D23" s="4" t="str">
        <f>Raw_Data!D23</f>
        <v>A++</v>
      </c>
      <c r="E23" s="7" t="str">
        <f>Raw_Data!J23</f>
        <v>187-200</v>
      </c>
      <c r="F23" s="19">
        <f>Raw_Data!I23</f>
        <v>170600</v>
      </c>
      <c r="G23" s="7" t="str">
        <f>Raw_Data!L23</f>
        <v xml:space="preserve"> 9.84 LPA</v>
      </c>
      <c r="H23" s="7">
        <f t="shared" si="0"/>
        <v>9.84</v>
      </c>
      <c r="I23" s="15">
        <f>Raw_Data!K23</f>
        <v>69</v>
      </c>
      <c r="J23" s="20">
        <f t="shared" si="1"/>
        <v>5.7678780773739744</v>
      </c>
      <c r="K23" s="20" t="str">
        <f t="shared" si="2"/>
        <v>Budget Friendly</v>
      </c>
      <c r="L23" s="20" t="str">
        <f t="shared" si="3"/>
        <v>Low placement</v>
      </c>
      <c r="M23" s="20" t="str">
        <f t="shared" si="4"/>
        <v>Compare More</v>
      </c>
    </row>
    <row r="24" spans="1:13" x14ac:dyDescent="0.3">
      <c r="A24" s="5" t="str">
        <f>Raw_Data!A24</f>
        <v>NANDHA ENGINEERING COLLEGE</v>
      </c>
      <c r="B24" s="4" t="str">
        <f>Raw_Data!B24</f>
        <v>ERODE</v>
      </c>
      <c r="C24" s="4" t="str">
        <f>Raw_Data!C24</f>
        <v>AUTONOMOUS</v>
      </c>
      <c r="D24" s="4" t="str">
        <f>Raw_Data!D24</f>
        <v>A+</v>
      </c>
      <c r="E24" s="7" t="str">
        <f>Raw_Data!J24</f>
        <v>150-175</v>
      </c>
      <c r="F24" s="19">
        <f>Raw_Data!I24</f>
        <v>518000</v>
      </c>
      <c r="G24" s="7" t="str">
        <f>Raw_Data!L24</f>
        <v>4.14 LPA</v>
      </c>
      <c r="H24" s="7">
        <f t="shared" si="0"/>
        <v>4.1399999999999997</v>
      </c>
      <c r="I24" s="15">
        <f>Raw_Data!K24</f>
        <v>89</v>
      </c>
      <c r="J24" s="20">
        <f t="shared" si="1"/>
        <v>0.79922779922779907</v>
      </c>
      <c r="K24" s="20" t="str">
        <f t="shared" si="2"/>
        <v>High Cost</v>
      </c>
      <c r="L24" s="20" t="str">
        <f t="shared" si="3"/>
        <v>High Placement</v>
      </c>
      <c r="M24" s="20" t="str">
        <f t="shared" si="4"/>
        <v>Compare More</v>
      </c>
    </row>
    <row r="25" spans="1:13" x14ac:dyDescent="0.3">
      <c r="A25" s="5" t="str">
        <f>Raw_Data!A25</f>
        <v>SATHYABAMA SCIENCE AND TECHNOLOGY</v>
      </c>
      <c r="B25" s="4" t="str">
        <f>Raw_Data!B25</f>
        <v>CHENNAI</v>
      </c>
      <c r="C25" s="4" t="str">
        <f>Raw_Data!C25</f>
        <v>DEEMED UNIVERSITY</v>
      </c>
      <c r="D25" s="4" t="str">
        <f>Raw_Data!D25</f>
        <v>A++</v>
      </c>
      <c r="E25" s="7" t="str">
        <f>Raw_Data!J25</f>
        <v>NOT APPLICABLE</v>
      </c>
      <c r="F25" s="19">
        <f>Raw_Data!I25</f>
        <v>1010000</v>
      </c>
      <c r="G25" s="7" t="str">
        <f>Raw_Data!L25</f>
        <v>5.57 LPA</v>
      </c>
      <c r="H25" s="7">
        <f t="shared" si="0"/>
        <v>5.57</v>
      </c>
      <c r="I25" s="15" t="str">
        <f>Raw_Data!K25</f>
        <v>49</v>
      </c>
      <c r="J25" s="20">
        <f t="shared" si="1"/>
        <v>0.55148514851485153</v>
      </c>
      <c r="K25" s="20" t="str">
        <f t="shared" si="2"/>
        <v>High Cost</v>
      </c>
      <c r="L25" s="20" t="str">
        <f t="shared" si="3"/>
        <v>High Placement</v>
      </c>
      <c r="M25" s="20" t="str">
        <f t="shared" si="4"/>
        <v>Compare More</v>
      </c>
    </row>
    <row r="26" spans="1:13" x14ac:dyDescent="0.3">
      <c r="A26" s="5" t="str">
        <f>Raw_Data!A26</f>
        <v>VEL TECH</v>
      </c>
      <c r="B26" s="4" t="str">
        <f>Raw_Data!B26</f>
        <v>CHENNAI</v>
      </c>
      <c r="C26" s="4" t="str">
        <f>Raw_Data!C26</f>
        <v>DEEMED UNIVERSITY</v>
      </c>
      <c r="D26" s="4" t="str">
        <f>Raw_Data!D26</f>
        <v>A++</v>
      </c>
      <c r="E26" s="7" t="str">
        <f>Raw_Data!J26</f>
        <v>NOT APPLICABLE</v>
      </c>
      <c r="F26" s="19">
        <f>Raw_Data!I26</f>
        <v>1390000</v>
      </c>
      <c r="G26" s="7" t="str">
        <f>Raw_Data!L26</f>
        <v>5.5 LPA</v>
      </c>
      <c r="H26" s="7">
        <f t="shared" si="0"/>
        <v>5.5</v>
      </c>
      <c r="I26" s="15">
        <f>Raw_Data!K26</f>
        <v>70</v>
      </c>
      <c r="J26" s="20">
        <f t="shared" si="1"/>
        <v>0.39568345323741005</v>
      </c>
      <c r="K26" s="20" t="str">
        <f t="shared" si="2"/>
        <v>High Cost</v>
      </c>
      <c r="L26" s="20" t="str">
        <f t="shared" si="3"/>
        <v>Low placement</v>
      </c>
      <c r="M26" s="20" t="str">
        <f t="shared" si="4"/>
        <v>Compare More</v>
      </c>
    </row>
    <row r="27" spans="1:13" x14ac:dyDescent="0.3">
      <c r="A27" s="5" t="str">
        <f>Raw_Data!A27</f>
        <v>PSG TECHNOLOGY AND APPLIED RESEARCH</v>
      </c>
      <c r="B27" s="4" t="str">
        <f>Raw_Data!B27</f>
        <v>COIMBATORE</v>
      </c>
      <c r="C27" s="4" t="str">
        <f>Raw_Data!C27</f>
        <v>AUTONOMOUS</v>
      </c>
      <c r="D27" s="4" t="str">
        <f>Raw_Data!D27</f>
        <v>A+</v>
      </c>
      <c r="E27" s="7" t="str">
        <f>Raw_Data!J27</f>
        <v>183-197.5</v>
      </c>
      <c r="F27" s="19">
        <f>Raw_Data!I27</f>
        <v>550000</v>
      </c>
      <c r="G27" s="7" t="str">
        <f>Raw_Data!L27</f>
        <v xml:space="preserve"> 7.96 LPA</v>
      </c>
      <c r="H27" s="7">
        <f t="shared" si="0"/>
        <v>7.96</v>
      </c>
      <c r="I27" s="15">
        <f>Raw_Data!K27</f>
        <v>90</v>
      </c>
      <c r="J27" s="20">
        <f t="shared" si="1"/>
        <v>1.4472727272727273</v>
      </c>
      <c r="K27" s="20" t="str">
        <f t="shared" si="2"/>
        <v>High Cost</v>
      </c>
      <c r="L27" s="20" t="str">
        <f t="shared" si="3"/>
        <v>High Placement</v>
      </c>
      <c r="M27" s="20" t="str">
        <f t="shared" si="4"/>
        <v>Compare More</v>
      </c>
    </row>
    <row r="28" spans="1:13" x14ac:dyDescent="0.3">
      <c r="A28" s="5" t="str">
        <f>Raw_Data!A28</f>
        <v>SSN COLLEGE OF ENGINEERING</v>
      </c>
      <c r="B28" s="4" t="str">
        <f>Raw_Data!B28</f>
        <v>CHENGALPATTU</v>
      </c>
      <c r="C28" s="4" t="str">
        <f>Raw_Data!C28</f>
        <v>AUTONOMOUS</v>
      </c>
      <c r="D28" s="4" t="str">
        <f>Raw_Data!D28</f>
        <v>A++</v>
      </c>
      <c r="E28" s="7" t="str">
        <f>Raw_Data!J28</f>
        <v>199+</v>
      </c>
      <c r="F28" s="19">
        <f>Raw_Data!I28</f>
        <v>890000</v>
      </c>
      <c r="G28" s="7" t="str">
        <f>Raw_Data!L28</f>
        <v>10.50 LPA</v>
      </c>
      <c r="H28" s="7">
        <f t="shared" si="0"/>
        <v>10.5</v>
      </c>
      <c r="I28" s="15">
        <f>Raw_Data!K28</f>
        <v>95</v>
      </c>
      <c r="J28" s="20">
        <f t="shared" si="1"/>
        <v>1.1797752808988764</v>
      </c>
      <c r="K28" s="20" t="str">
        <f t="shared" si="2"/>
        <v>High Cost</v>
      </c>
      <c r="L28" s="20" t="str">
        <f t="shared" si="3"/>
        <v>High Placement</v>
      </c>
      <c r="M28" s="20" t="str">
        <f t="shared" si="4"/>
        <v>Compare More</v>
      </c>
    </row>
    <row r="29" spans="1:13" x14ac:dyDescent="0.3">
      <c r="A29" s="5" t="str">
        <f>Raw_Data!A29</f>
        <v>NATIONAL INSTITUTE OF TECHNOLOGY</v>
      </c>
      <c r="B29" s="4" t="str">
        <f>Raw_Data!B29</f>
        <v>TIRUCHIRAPPALLI</v>
      </c>
      <c r="C29" s="4" t="str">
        <f>Raw_Data!C29</f>
        <v>GOVERNMENT</v>
      </c>
      <c r="D29" s="4" t="str">
        <f>Raw_Data!D29</f>
        <v>A++</v>
      </c>
      <c r="E29" s="7" t="str">
        <f>Raw_Data!J29</f>
        <v>NOT APPLICABLE</v>
      </c>
      <c r="F29" s="19">
        <f>Raw_Data!I29</f>
        <v>912500</v>
      </c>
      <c r="G29" s="7" t="str">
        <f>Raw_Data!L29</f>
        <v>18.73 LPA</v>
      </c>
      <c r="H29" s="7">
        <f t="shared" si="0"/>
        <v>18.73</v>
      </c>
      <c r="I29" s="15">
        <f>Raw_Data!K29</f>
        <v>89</v>
      </c>
      <c r="J29" s="20">
        <f t="shared" si="1"/>
        <v>2.0526027397260274</v>
      </c>
      <c r="K29" s="20" t="str">
        <f t="shared" si="2"/>
        <v>High Cost</v>
      </c>
      <c r="L29" s="20" t="str">
        <f t="shared" si="3"/>
        <v>High Placement</v>
      </c>
      <c r="M29" s="20" t="str">
        <f t="shared" si="4"/>
        <v>Compare More</v>
      </c>
    </row>
    <row r="30" spans="1:13" x14ac:dyDescent="0.3">
      <c r="A30" s="5" t="str">
        <f>Raw_Data!A30</f>
        <v>KALASALINGAM ACADEMY OF RESEARCH AND EDUCATION</v>
      </c>
      <c r="B30" s="4" t="str">
        <f>Raw_Data!B30</f>
        <v>VIRUDHUNAGAR</v>
      </c>
      <c r="C30" s="4" t="str">
        <f>Raw_Data!C30</f>
        <v>DEEMED UNIVERSITY</v>
      </c>
      <c r="D30" s="4" t="str">
        <f>Raw_Data!D30</f>
        <v>A++</v>
      </c>
      <c r="E30" s="7" t="str">
        <f>Raw_Data!J30</f>
        <v>140+</v>
      </c>
      <c r="F30" s="19">
        <f>Raw_Data!I30</f>
        <v>710000</v>
      </c>
      <c r="G30" s="7" t="str">
        <f>Raw_Data!L30</f>
        <v>4.50 LPA</v>
      </c>
      <c r="H30" s="7">
        <f t="shared" si="0"/>
        <v>4.5</v>
      </c>
      <c r="I30" s="15">
        <f>Raw_Data!K30</f>
        <v>94</v>
      </c>
      <c r="J30" s="20">
        <f t="shared" si="1"/>
        <v>0.63380281690140849</v>
      </c>
      <c r="K30" s="20" t="str">
        <f t="shared" si="2"/>
        <v>High Cost</v>
      </c>
      <c r="L30" s="20" t="str">
        <f t="shared" si="3"/>
        <v>High Placement</v>
      </c>
      <c r="M30" s="20" t="str">
        <f t="shared" si="4"/>
        <v>Compare More</v>
      </c>
    </row>
    <row r="31" spans="1:13" x14ac:dyDescent="0.3">
      <c r="A31" s="5" t="str">
        <f>Raw_Data!A31</f>
        <v>INDIAN INSTITUTE OF TECHNOLOGY MADRAS</v>
      </c>
      <c r="B31" s="4" t="str">
        <f>Raw_Data!B31</f>
        <v>CHENNAI</v>
      </c>
      <c r="C31" s="4" t="str">
        <f>Raw_Data!C31</f>
        <v>GOVERNMENT</v>
      </c>
      <c r="D31" s="4" t="str">
        <f>Raw_Data!D31</f>
        <v>A++</v>
      </c>
      <c r="E31" s="7" t="str">
        <f>Raw_Data!J31</f>
        <v>NOT APPLICABLE</v>
      </c>
      <c r="F31" s="19">
        <f>Raw_Data!I31</f>
        <v>917000</v>
      </c>
      <c r="G31" s="7" t="str">
        <f>Raw_Data!L31</f>
        <v xml:space="preserve"> 24.2 LPA</v>
      </c>
      <c r="H31" s="7">
        <f t="shared" si="0"/>
        <v>24.2</v>
      </c>
      <c r="I31" s="15">
        <f>Raw_Data!K31</f>
        <v>90</v>
      </c>
      <c r="J31" s="20">
        <f t="shared" si="1"/>
        <v>2.6390403489640133</v>
      </c>
      <c r="K31" s="20" t="str">
        <f t="shared" si="2"/>
        <v>High Cost</v>
      </c>
      <c r="L31" s="20" t="str">
        <f t="shared" si="3"/>
        <v>High Placement</v>
      </c>
      <c r="M31" s="20" t="str">
        <f t="shared" si="4"/>
        <v>Compare More</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C29A-9D80-4FDC-BC06-6D3B9DAAE067}">
  <dimension ref="A1:G14"/>
  <sheetViews>
    <sheetView topLeftCell="C1" workbookViewId="0">
      <selection activeCell="G17" sqref="G17"/>
    </sheetView>
  </sheetViews>
  <sheetFormatPr defaultRowHeight="14.4" x14ac:dyDescent="0.3"/>
  <cols>
    <col min="1" max="1" width="22.33203125" bestFit="1" customWidth="1"/>
    <col min="2" max="2" width="15.5546875" bestFit="1" customWidth="1"/>
    <col min="3" max="3" width="19" bestFit="1" customWidth="1"/>
    <col min="4" max="4" width="13.44140625" bestFit="1" customWidth="1"/>
    <col min="5" max="5" width="8.21875" bestFit="1" customWidth="1"/>
    <col min="6" max="6" width="7" bestFit="1" customWidth="1"/>
    <col min="7" max="7" width="10.77734375" bestFit="1" customWidth="1"/>
  </cols>
  <sheetData>
    <row r="1" spans="1:7" x14ac:dyDescent="0.3">
      <c r="A1" s="29" t="s">
        <v>3</v>
      </c>
      <c r="B1" t="s">
        <v>224</v>
      </c>
    </row>
    <row r="3" spans="1:7" x14ac:dyDescent="0.3">
      <c r="A3" s="29" t="s">
        <v>221</v>
      </c>
      <c r="B3" s="29" t="s">
        <v>222</v>
      </c>
    </row>
    <row r="4" spans="1:7" x14ac:dyDescent="0.3">
      <c r="A4" s="29" t="s">
        <v>219</v>
      </c>
      <c r="B4" t="s">
        <v>17</v>
      </c>
      <c r="C4" t="s">
        <v>26</v>
      </c>
      <c r="D4" t="s">
        <v>13</v>
      </c>
      <c r="E4" t="s">
        <v>11</v>
      </c>
      <c r="F4" t="s">
        <v>223</v>
      </c>
      <c r="G4" t="s">
        <v>220</v>
      </c>
    </row>
    <row r="5" spans="1:7" x14ac:dyDescent="0.3">
      <c r="A5" s="30" t="s">
        <v>22</v>
      </c>
      <c r="B5">
        <v>2</v>
      </c>
      <c r="G5">
        <v>2</v>
      </c>
    </row>
    <row r="6" spans="1:7" x14ac:dyDescent="0.3">
      <c r="A6" s="30" t="s">
        <v>16</v>
      </c>
      <c r="B6">
        <v>2</v>
      </c>
      <c r="C6">
        <v>2</v>
      </c>
      <c r="D6">
        <v>2</v>
      </c>
      <c r="G6">
        <v>6</v>
      </c>
    </row>
    <row r="7" spans="1:7" x14ac:dyDescent="0.3">
      <c r="A7" s="30" t="s">
        <v>18</v>
      </c>
      <c r="B7">
        <v>6</v>
      </c>
      <c r="C7">
        <v>1</v>
      </c>
      <c r="D7">
        <v>1</v>
      </c>
      <c r="G7">
        <v>8</v>
      </c>
    </row>
    <row r="8" spans="1:7" x14ac:dyDescent="0.3">
      <c r="A8" s="30" t="s">
        <v>27</v>
      </c>
      <c r="B8">
        <v>2</v>
      </c>
      <c r="G8">
        <v>2</v>
      </c>
    </row>
    <row r="9" spans="1:7" x14ac:dyDescent="0.3">
      <c r="A9" s="30" t="s">
        <v>20</v>
      </c>
      <c r="B9">
        <v>2</v>
      </c>
      <c r="G9">
        <v>2</v>
      </c>
    </row>
    <row r="10" spans="1:7" x14ac:dyDescent="0.3">
      <c r="A10" s="30" t="s">
        <v>37</v>
      </c>
      <c r="D10">
        <v>1</v>
      </c>
      <c r="G10">
        <v>1</v>
      </c>
    </row>
    <row r="11" spans="1:7" x14ac:dyDescent="0.3">
      <c r="A11" s="30" t="s">
        <v>10</v>
      </c>
      <c r="B11">
        <v>1</v>
      </c>
      <c r="D11">
        <v>3</v>
      </c>
      <c r="E11">
        <v>4</v>
      </c>
      <c r="G11">
        <v>8</v>
      </c>
    </row>
    <row r="12" spans="1:7" x14ac:dyDescent="0.3">
      <c r="A12" s="30" t="s">
        <v>39</v>
      </c>
      <c r="C12">
        <v>1</v>
      </c>
      <c r="G12">
        <v>1</v>
      </c>
    </row>
    <row r="13" spans="1:7" x14ac:dyDescent="0.3">
      <c r="A13" s="30" t="s">
        <v>223</v>
      </c>
    </row>
    <row r="14" spans="1:7" x14ac:dyDescent="0.3">
      <c r="A14" s="30" t="s">
        <v>220</v>
      </c>
      <c r="B14">
        <v>15</v>
      </c>
      <c r="C14">
        <v>4</v>
      </c>
      <c r="D14">
        <v>7</v>
      </c>
      <c r="E14">
        <v>4</v>
      </c>
      <c r="G14">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1F7D-4276-451E-A707-4AEF896FDC2E}">
  <dimension ref="A1:B9"/>
  <sheetViews>
    <sheetView workbookViewId="0">
      <selection activeCell="B8" sqref="B8"/>
    </sheetView>
  </sheetViews>
  <sheetFormatPr defaultRowHeight="14.4" x14ac:dyDescent="0.3"/>
  <cols>
    <col min="1" max="1" width="18.6640625" bestFit="1" customWidth="1"/>
    <col min="2" max="2" width="22.77734375" bestFit="1" customWidth="1"/>
    <col min="3" max="3" width="8.77734375" bestFit="1" customWidth="1"/>
    <col min="4" max="4" width="12.5546875" bestFit="1" customWidth="1"/>
    <col min="5" max="5" width="6.6640625" bestFit="1" customWidth="1"/>
    <col min="6" max="6" width="9.44140625" bestFit="1" customWidth="1"/>
    <col min="7" max="7" width="16.109375" bestFit="1" customWidth="1"/>
    <col min="8" max="8" width="8.5546875" bestFit="1" customWidth="1"/>
    <col min="9" max="9" width="15.21875" bestFit="1" customWidth="1"/>
    <col min="10" max="10" width="7" bestFit="1" customWidth="1"/>
    <col min="11" max="11" width="10.77734375" bestFit="1" customWidth="1"/>
  </cols>
  <sheetData>
    <row r="1" spans="1:2" x14ac:dyDescent="0.3">
      <c r="A1" s="29" t="s">
        <v>1</v>
      </c>
      <c r="B1" t="s">
        <v>224</v>
      </c>
    </row>
    <row r="3" spans="1:2" x14ac:dyDescent="0.3">
      <c r="A3" s="29" t="s">
        <v>219</v>
      </c>
      <c r="B3" t="s">
        <v>225</v>
      </c>
    </row>
    <row r="4" spans="1:2" x14ac:dyDescent="0.3">
      <c r="A4" s="30" t="s">
        <v>17</v>
      </c>
      <c r="B4">
        <v>83.8</v>
      </c>
    </row>
    <row r="5" spans="1:2" x14ac:dyDescent="0.3">
      <c r="A5" s="30" t="s">
        <v>26</v>
      </c>
      <c r="B5">
        <v>86</v>
      </c>
    </row>
    <row r="6" spans="1:2" x14ac:dyDescent="0.3">
      <c r="A6" s="30" t="s">
        <v>13</v>
      </c>
      <c r="B6">
        <v>76.142857142857139</v>
      </c>
    </row>
    <row r="7" spans="1:2" x14ac:dyDescent="0.3">
      <c r="A7" s="30" t="s">
        <v>11</v>
      </c>
      <c r="B7">
        <v>75.125</v>
      </c>
    </row>
    <row r="8" spans="1:2" x14ac:dyDescent="0.3">
      <c r="A8" s="30" t="s">
        <v>223</v>
      </c>
    </row>
    <row r="9" spans="1:2" x14ac:dyDescent="0.3">
      <c r="A9" s="30" t="s">
        <v>220</v>
      </c>
      <c r="B9">
        <v>80.982758620689651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F3C0-AD71-418C-8ED3-3D15420386F8}">
  <dimension ref="A1:B35"/>
  <sheetViews>
    <sheetView workbookViewId="0">
      <selection activeCell="B2" sqref="B2"/>
    </sheetView>
  </sheetViews>
  <sheetFormatPr defaultRowHeight="14.4" x14ac:dyDescent="0.3"/>
  <cols>
    <col min="1" max="1" width="49.77734375" bestFit="1" customWidth="1"/>
    <col min="2" max="2" width="24.44140625" bestFit="1" customWidth="1"/>
    <col min="3" max="3" width="25.77734375" customWidth="1"/>
  </cols>
  <sheetData>
    <row r="1" spans="1:2" x14ac:dyDescent="0.3">
      <c r="A1" s="29" t="s">
        <v>1</v>
      </c>
      <c r="B1" t="s">
        <v>224</v>
      </c>
    </row>
    <row r="2" spans="1:2" x14ac:dyDescent="0.3">
      <c r="A2" s="29" t="s">
        <v>2</v>
      </c>
      <c r="B2" t="s">
        <v>224</v>
      </c>
    </row>
    <row r="4" spans="1:2" x14ac:dyDescent="0.3">
      <c r="A4" s="29" t="s">
        <v>219</v>
      </c>
      <c r="B4" t="s">
        <v>226</v>
      </c>
    </row>
    <row r="5" spans="1:2" x14ac:dyDescent="0.3">
      <c r="A5" s="30" t="s">
        <v>47</v>
      </c>
      <c r="B5">
        <v>2.5</v>
      </c>
    </row>
    <row r="6" spans="1:2" x14ac:dyDescent="0.3">
      <c r="A6" s="30" t="s">
        <v>41</v>
      </c>
      <c r="B6">
        <v>0.17665615141955837</v>
      </c>
    </row>
    <row r="7" spans="1:2" x14ac:dyDescent="0.3">
      <c r="A7" s="30" t="s">
        <v>19</v>
      </c>
      <c r="B7">
        <v>1.4634146341463414</v>
      </c>
    </row>
    <row r="8" spans="1:2" x14ac:dyDescent="0.3">
      <c r="A8" s="30" t="s">
        <v>25</v>
      </c>
      <c r="B8">
        <v>5.3099415204678362</v>
      </c>
    </row>
    <row r="9" spans="1:2" x14ac:dyDescent="0.3">
      <c r="A9" s="30" t="s">
        <v>31</v>
      </c>
      <c r="B9">
        <v>5.7678780773739744</v>
      </c>
    </row>
    <row r="10" spans="1:2" x14ac:dyDescent="0.3">
      <c r="A10" s="30" t="s">
        <v>46</v>
      </c>
      <c r="B10">
        <v>20.8</v>
      </c>
    </row>
    <row r="11" spans="1:2" x14ac:dyDescent="0.3">
      <c r="A11" s="30" t="s">
        <v>33</v>
      </c>
      <c r="B11">
        <v>2.0640000000000001</v>
      </c>
    </row>
    <row r="12" spans="1:2" x14ac:dyDescent="0.3">
      <c r="A12" s="30" t="s">
        <v>49</v>
      </c>
      <c r="B12">
        <v>1.408450704225352</v>
      </c>
    </row>
    <row r="13" spans="1:2" x14ac:dyDescent="0.3">
      <c r="A13" s="30" t="s">
        <v>42</v>
      </c>
      <c r="B13">
        <v>2.8571428571428572</v>
      </c>
    </row>
    <row r="14" spans="1:2" x14ac:dyDescent="0.3">
      <c r="A14" s="30" t="s">
        <v>14</v>
      </c>
      <c r="B14">
        <v>32.027850304612706</v>
      </c>
    </row>
    <row r="15" spans="1:2" x14ac:dyDescent="0.3">
      <c r="A15" s="30" t="s">
        <v>45</v>
      </c>
      <c r="B15">
        <v>1.6444444444444444</v>
      </c>
    </row>
    <row r="16" spans="1:2" x14ac:dyDescent="0.3">
      <c r="A16" s="30" t="s">
        <v>32</v>
      </c>
      <c r="B16">
        <v>1.2676949080921192</v>
      </c>
    </row>
    <row r="17" spans="1:2" x14ac:dyDescent="0.3">
      <c r="A17" s="30" t="s">
        <v>40</v>
      </c>
      <c r="B17">
        <v>2.6390403489640133</v>
      </c>
    </row>
    <row r="18" spans="1:2" x14ac:dyDescent="0.3">
      <c r="A18" s="30" t="s">
        <v>38</v>
      </c>
      <c r="B18">
        <v>0.63380281690140849</v>
      </c>
    </row>
    <row r="19" spans="1:2" x14ac:dyDescent="0.3">
      <c r="A19" s="30" t="s">
        <v>48</v>
      </c>
      <c r="B19">
        <v>2.5806451612903225</v>
      </c>
    </row>
    <row r="20" spans="1:2" x14ac:dyDescent="0.3">
      <c r="A20" s="30" t="s">
        <v>50</v>
      </c>
      <c r="B20">
        <v>1.5125072716695753</v>
      </c>
    </row>
    <row r="21" spans="1:2" x14ac:dyDescent="0.3">
      <c r="A21" s="30" t="s">
        <v>34</v>
      </c>
      <c r="B21">
        <v>1.2530226423389756</v>
      </c>
    </row>
    <row r="22" spans="1:2" x14ac:dyDescent="0.3">
      <c r="A22" s="30" t="s">
        <v>15</v>
      </c>
      <c r="B22">
        <v>1.9720062208398135</v>
      </c>
    </row>
    <row r="23" spans="1:2" x14ac:dyDescent="0.3">
      <c r="A23" s="30" t="s">
        <v>43</v>
      </c>
      <c r="B23">
        <v>23.80952380952381</v>
      </c>
    </row>
    <row r="24" spans="1:2" x14ac:dyDescent="0.3">
      <c r="A24" s="30" t="s">
        <v>21</v>
      </c>
      <c r="B24">
        <v>2.4509803921568629</v>
      </c>
    </row>
    <row r="25" spans="1:2" x14ac:dyDescent="0.3">
      <c r="A25" s="30" t="s">
        <v>212</v>
      </c>
      <c r="B25">
        <v>0.79922779922779907</v>
      </c>
    </row>
    <row r="26" spans="1:2" x14ac:dyDescent="0.3">
      <c r="A26" s="30" t="s">
        <v>36</v>
      </c>
      <c r="B26">
        <v>2.0526027397260274</v>
      </c>
    </row>
    <row r="27" spans="1:2" x14ac:dyDescent="0.3">
      <c r="A27" s="30" t="s">
        <v>12</v>
      </c>
      <c r="B27">
        <v>1.0078125</v>
      </c>
    </row>
    <row r="28" spans="1:2" x14ac:dyDescent="0.3">
      <c r="A28" s="30" t="s">
        <v>44</v>
      </c>
      <c r="B28">
        <v>1.964102564102564</v>
      </c>
    </row>
    <row r="29" spans="1:2" x14ac:dyDescent="0.3">
      <c r="A29" s="30" t="s">
        <v>30</v>
      </c>
      <c r="B29">
        <v>1.4472727272727273</v>
      </c>
    </row>
    <row r="30" spans="1:2" x14ac:dyDescent="0.3">
      <c r="A30" s="30" t="s">
        <v>28</v>
      </c>
      <c r="B30">
        <v>0.55148514851485153</v>
      </c>
    </row>
    <row r="31" spans="1:2" x14ac:dyDescent="0.3">
      <c r="A31" s="30" t="s">
        <v>35</v>
      </c>
      <c r="B31">
        <v>1.1797752808988764</v>
      </c>
    </row>
    <row r="32" spans="1:2" x14ac:dyDescent="0.3">
      <c r="A32" s="30" t="s">
        <v>23</v>
      </c>
      <c r="B32">
        <v>2.7878787878787876</v>
      </c>
    </row>
    <row r="33" spans="1:2" x14ac:dyDescent="0.3">
      <c r="A33" s="30" t="s">
        <v>24</v>
      </c>
      <c r="B33">
        <v>2.1794871794871793</v>
      </c>
    </row>
    <row r="34" spans="1:2" x14ac:dyDescent="0.3">
      <c r="A34" s="30" t="s">
        <v>29</v>
      </c>
      <c r="B34">
        <v>0.39568345323741005</v>
      </c>
    </row>
    <row r="35" spans="1:2" x14ac:dyDescent="0.3">
      <c r="A35" s="30" t="s">
        <v>220</v>
      </c>
      <c r="B35">
        <v>4.283477681531874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AC7E-3CBA-4330-BF7E-734A7D1CCC14}">
  <dimension ref="A2:B10"/>
  <sheetViews>
    <sheetView workbookViewId="0">
      <selection activeCell="B6" sqref="B6"/>
    </sheetView>
  </sheetViews>
  <sheetFormatPr defaultRowHeight="14.4" x14ac:dyDescent="0.3"/>
  <cols>
    <col min="1" max="1" width="18.6640625" bestFit="1" customWidth="1"/>
    <col min="2" max="2" width="29.5546875" bestFit="1" customWidth="1"/>
    <col min="3" max="3" width="25.77734375" customWidth="1"/>
  </cols>
  <sheetData>
    <row r="2" spans="1:2" x14ac:dyDescent="0.3">
      <c r="A2" s="29" t="s">
        <v>1</v>
      </c>
      <c r="B2" t="s">
        <v>224</v>
      </c>
    </row>
    <row r="4" spans="1:2" x14ac:dyDescent="0.3">
      <c r="A4" s="29" t="s">
        <v>219</v>
      </c>
      <c r="B4" t="s">
        <v>227</v>
      </c>
    </row>
    <row r="5" spans="1:2" x14ac:dyDescent="0.3">
      <c r="A5" s="30" t="s">
        <v>17</v>
      </c>
      <c r="B5">
        <v>319905.33333333331</v>
      </c>
    </row>
    <row r="6" spans="1:2" x14ac:dyDescent="0.3">
      <c r="A6" s="30" t="s">
        <v>26</v>
      </c>
      <c r="B6">
        <v>820250</v>
      </c>
    </row>
    <row r="7" spans="1:2" x14ac:dyDescent="0.3">
      <c r="A7" s="30" t="s">
        <v>13</v>
      </c>
      <c r="B7">
        <v>356135</v>
      </c>
    </row>
    <row r="8" spans="1:2" x14ac:dyDescent="0.3">
      <c r="A8" s="30" t="s">
        <v>11</v>
      </c>
      <c r="B8">
        <v>271375</v>
      </c>
    </row>
    <row r="9" spans="1:2" x14ac:dyDescent="0.3">
      <c r="A9" s="30" t="s">
        <v>223</v>
      </c>
    </row>
    <row r="10" spans="1:2" x14ac:dyDescent="0.3">
      <c r="A10" s="30" t="s">
        <v>220</v>
      </c>
      <c r="B10">
        <v>388600.83333333331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6246-D7A0-43B5-8A57-133BA8980DE3}">
  <dimension ref="A2:B14"/>
  <sheetViews>
    <sheetView workbookViewId="0">
      <selection activeCell="B12" sqref="B12"/>
    </sheetView>
  </sheetViews>
  <sheetFormatPr defaultRowHeight="14.4" x14ac:dyDescent="0.3"/>
  <cols>
    <col min="1" max="1" width="15.6640625" bestFit="1" customWidth="1"/>
    <col min="2" max="2" width="27.21875" bestFit="1" customWidth="1"/>
    <col min="3" max="3" width="19" bestFit="1" customWidth="1"/>
    <col min="4" max="4" width="13.44140625" bestFit="1" customWidth="1"/>
    <col min="5" max="5" width="8.21875" bestFit="1" customWidth="1"/>
    <col min="6" max="6" width="7" bestFit="1" customWidth="1"/>
    <col min="7" max="7" width="10.77734375" bestFit="1" customWidth="1"/>
    <col min="8" max="8" width="31.21875" bestFit="1" customWidth="1"/>
    <col min="9" max="9" width="25.109375" bestFit="1" customWidth="1"/>
    <col min="10" max="10" width="31.21875" bestFit="1" customWidth="1"/>
    <col min="11" max="11" width="25.109375" bestFit="1" customWidth="1"/>
    <col min="12" max="12" width="36" bestFit="1" customWidth="1"/>
    <col min="13" max="13" width="30" bestFit="1" customWidth="1"/>
  </cols>
  <sheetData>
    <row r="2" spans="1:2" x14ac:dyDescent="0.3">
      <c r="A2" s="29" t="s">
        <v>2</v>
      </c>
      <c r="B2" t="s">
        <v>224</v>
      </c>
    </row>
    <row r="4" spans="1:2" x14ac:dyDescent="0.3">
      <c r="A4" s="29" t="s">
        <v>219</v>
      </c>
      <c r="B4" t="s">
        <v>228</v>
      </c>
    </row>
    <row r="5" spans="1:2" x14ac:dyDescent="0.3">
      <c r="A5" s="30" t="s">
        <v>22</v>
      </c>
      <c r="B5">
        <v>7.05</v>
      </c>
    </row>
    <row r="6" spans="1:2" x14ac:dyDescent="0.3">
      <c r="A6" s="30" t="s">
        <v>16</v>
      </c>
      <c r="B6">
        <v>9.3416666666666668</v>
      </c>
    </row>
    <row r="7" spans="1:2" x14ac:dyDescent="0.3">
      <c r="A7" s="30" t="s">
        <v>18</v>
      </c>
      <c r="B7">
        <v>5.6837500000000007</v>
      </c>
    </row>
    <row r="8" spans="1:2" x14ac:dyDescent="0.3">
      <c r="A8" s="30" t="s">
        <v>27</v>
      </c>
      <c r="B8">
        <v>4.6500000000000004</v>
      </c>
    </row>
    <row r="9" spans="1:2" x14ac:dyDescent="0.3">
      <c r="A9" s="30" t="s">
        <v>20</v>
      </c>
      <c r="B9">
        <v>2.75</v>
      </c>
    </row>
    <row r="10" spans="1:2" x14ac:dyDescent="0.3">
      <c r="A10" s="30" t="s">
        <v>37</v>
      </c>
      <c r="B10">
        <v>18.73</v>
      </c>
    </row>
    <row r="11" spans="1:2" x14ac:dyDescent="0.3">
      <c r="A11" s="30" t="s">
        <v>10</v>
      </c>
      <c r="B11">
        <v>2.01125</v>
      </c>
    </row>
    <row r="12" spans="1:2" x14ac:dyDescent="0.3">
      <c r="A12" s="30" t="s">
        <v>39</v>
      </c>
      <c r="B12">
        <v>4.5</v>
      </c>
    </row>
    <row r="13" spans="1:2" x14ac:dyDescent="0.3">
      <c r="A13" s="30" t="s">
        <v>223</v>
      </c>
    </row>
    <row r="14" spans="1:2" x14ac:dyDescent="0.3">
      <c r="A14" s="30" t="s">
        <v>220</v>
      </c>
      <c r="B14">
        <v>5.6579999999999995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3ED07-27E7-4204-853A-669D325A782F}">
  <dimension ref="A1:G36"/>
  <sheetViews>
    <sheetView topLeftCell="B1" workbookViewId="0">
      <selection activeCell="L22" sqref="L22"/>
    </sheetView>
  </sheetViews>
  <sheetFormatPr defaultRowHeight="14.4" x14ac:dyDescent="0.3"/>
  <cols>
    <col min="1" max="1" width="49.77734375" bestFit="1" customWidth="1"/>
    <col min="2" max="2" width="15.5546875" bestFit="1" customWidth="1"/>
    <col min="3" max="3" width="19" bestFit="1" customWidth="1"/>
    <col min="4" max="4" width="13.44140625" bestFit="1" customWidth="1"/>
    <col min="5" max="5" width="8.21875" bestFit="1" customWidth="1"/>
    <col min="6" max="6" width="7" bestFit="1" customWidth="1"/>
    <col min="7" max="7" width="10.77734375" bestFit="1" customWidth="1"/>
  </cols>
  <sheetData>
    <row r="1" spans="1:7" x14ac:dyDescent="0.3">
      <c r="A1" s="29" t="s">
        <v>1</v>
      </c>
      <c r="B1" t="s">
        <v>224</v>
      </c>
    </row>
    <row r="3" spans="1:7" x14ac:dyDescent="0.3">
      <c r="A3" s="29" t="s">
        <v>221</v>
      </c>
      <c r="B3" s="29" t="s">
        <v>222</v>
      </c>
    </row>
    <row r="4" spans="1:7" x14ac:dyDescent="0.3">
      <c r="A4" s="29" t="s">
        <v>219</v>
      </c>
      <c r="B4" t="s">
        <v>17</v>
      </c>
      <c r="C4" t="s">
        <v>26</v>
      </c>
      <c r="D4" t="s">
        <v>13</v>
      </c>
      <c r="E4" t="s">
        <v>11</v>
      </c>
      <c r="F4" t="s">
        <v>223</v>
      </c>
      <c r="G4" t="s">
        <v>220</v>
      </c>
    </row>
    <row r="5" spans="1:7" x14ac:dyDescent="0.3">
      <c r="A5" s="30" t="s">
        <v>47</v>
      </c>
      <c r="E5">
        <v>1</v>
      </c>
      <c r="G5">
        <v>1</v>
      </c>
    </row>
    <row r="6" spans="1:7" x14ac:dyDescent="0.3">
      <c r="A6" s="30" t="s">
        <v>41</v>
      </c>
      <c r="E6">
        <v>1</v>
      </c>
      <c r="G6">
        <v>1</v>
      </c>
    </row>
    <row r="7" spans="1:7" x14ac:dyDescent="0.3">
      <c r="A7" s="30" t="s">
        <v>19</v>
      </c>
      <c r="B7">
        <v>1</v>
      </c>
      <c r="G7">
        <v>1</v>
      </c>
    </row>
    <row r="8" spans="1:7" x14ac:dyDescent="0.3">
      <c r="A8" s="30" t="s">
        <v>25</v>
      </c>
      <c r="C8">
        <v>1</v>
      </c>
      <c r="G8">
        <v>1</v>
      </c>
    </row>
    <row r="9" spans="1:7" x14ac:dyDescent="0.3">
      <c r="A9" s="30" t="s">
        <v>31</v>
      </c>
      <c r="D9">
        <v>1</v>
      </c>
      <c r="G9">
        <v>1</v>
      </c>
    </row>
    <row r="10" spans="1:7" x14ac:dyDescent="0.3">
      <c r="A10" s="30" t="s">
        <v>46</v>
      </c>
      <c r="D10">
        <v>1</v>
      </c>
      <c r="G10">
        <v>1</v>
      </c>
    </row>
    <row r="11" spans="1:7" x14ac:dyDescent="0.3">
      <c r="A11" s="30" t="s">
        <v>33</v>
      </c>
      <c r="B11">
        <v>1</v>
      </c>
      <c r="G11">
        <v>1</v>
      </c>
    </row>
    <row r="12" spans="1:7" x14ac:dyDescent="0.3">
      <c r="A12" s="30" t="s">
        <v>49</v>
      </c>
      <c r="B12">
        <v>1</v>
      </c>
      <c r="G12">
        <v>1</v>
      </c>
    </row>
    <row r="13" spans="1:7" x14ac:dyDescent="0.3">
      <c r="A13" s="30" t="s">
        <v>42</v>
      </c>
      <c r="E13">
        <v>1</v>
      </c>
      <c r="G13">
        <v>1</v>
      </c>
    </row>
    <row r="14" spans="1:7" x14ac:dyDescent="0.3">
      <c r="A14" s="30" t="s">
        <v>14</v>
      </c>
      <c r="D14">
        <v>1</v>
      </c>
      <c r="G14">
        <v>1</v>
      </c>
    </row>
    <row r="15" spans="1:7" x14ac:dyDescent="0.3">
      <c r="A15" s="30" t="s">
        <v>45</v>
      </c>
      <c r="B15">
        <v>1</v>
      </c>
      <c r="G15">
        <v>1</v>
      </c>
    </row>
    <row r="16" spans="1:7" x14ac:dyDescent="0.3">
      <c r="A16" s="30" t="s">
        <v>32</v>
      </c>
      <c r="D16">
        <v>1</v>
      </c>
      <c r="G16">
        <v>1</v>
      </c>
    </row>
    <row r="17" spans="1:7" x14ac:dyDescent="0.3">
      <c r="A17" s="30" t="s">
        <v>40</v>
      </c>
      <c r="D17">
        <v>1</v>
      </c>
      <c r="G17">
        <v>1</v>
      </c>
    </row>
    <row r="18" spans="1:7" x14ac:dyDescent="0.3">
      <c r="A18" s="30" t="s">
        <v>38</v>
      </c>
      <c r="C18">
        <v>1</v>
      </c>
      <c r="G18">
        <v>1</v>
      </c>
    </row>
    <row r="19" spans="1:7" x14ac:dyDescent="0.3">
      <c r="A19" s="30" t="s">
        <v>48</v>
      </c>
      <c r="B19">
        <v>1</v>
      </c>
      <c r="G19">
        <v>1</v>
      </c>
    </row>
    <row r="20" spans="1:7" x14ac:dyDescent="0.3">
      <c r="A20" s="30" t="s">
        <v>50</v>
      </c>
      <c r="B20">
        <v>1</v>
      </c>
      <c r="G20">
        <v>1</v>
      </c>
    </row>
    <row r="21" spans="1:7" x14ac:dyDescent="0.3">
      <c r="A21" s="30" t="s">
        <v>34</v>
      </c>
      <c r="B21">
        <v>1</v>
      </c>
      <c r="G21">
        <v>1</v>
      </c>
    </row>
    <row r="22" spans="1:7" x14ac:dyDescent="0.3">
      <c r="A22" s="30" t="s">
        <v>15</v>
      </c>
      <c r="B22">
        <v>1</v>
      </c>
      <c r="G22">
        <v>1</v>
      </c>
    </row>
    <row r="23" spans="1:7" x14ac:dyDescent="0.3">
      <c r="A23" s="30" t="s">
        <v>43</v>
      </c>
      <c r="D23">
        <v>1</v>
      </c>
      <c r="G23">
        <v>1</v>
      </c>
    </row>
    <row r="24" spans="1:7" x14ac:dyDescent="0.3">
      <c r="A24" s="30" t="s">
        <v>21</v>
      </c>
      <c r="B24">
        <v>1</v>
      </c>
      <c r="G24">
        <v>1</v>
      </c>
    </row>
    <row r="25" spans="1:7" x14ac:dyDescent="0.3">
      <c r="A25" s="30" t="s">
        <v>212</v>
      </c>
      <c r="B25">
        <v>1</v>
      </c>
      <c r="G25">
        <v>1</v>
      </c>
    </row>
    <row r="26" spans="1:7" x14ac:dyDescent="0.3">
      <c r="A26" s="30" t="s">
        <v>36</v>
      </c>
      <c r="D26">
        <v>1</v>
      </c>
      <c r="G26">
        <v>1</v>
      </c>
    </row>
    <row r="27" spans="1:7" x14ac:dyDescent="0.3">
      <c r="A27" s="30" t="s">
        <v>12</v>
      </c>
      <c r="E27">
        <v>1</v>
      </c>
      <c r="G27">
        <v>1</v>
      </c>
    </row>
    <row r="28" spans="1:7" x14ac:dyDescent="0.3">
      <c r="A28" s="30" t="s">
        <v>44</v>
      </c>
      <c r="B28">
        <v>1</v>
      </c>
      <c r="G28">
        <v>1</v>
      </c>
    </row>
    <row r="29" spans="1:7" x14ac:dyDescent="0.3">
      <c r="A29" s="30" t="s">
        <v>30</v>
      </c>
      <c r="B29">
        <v>1</v>
      </c>
      <c r="G29">
        <v>1</v>
      </c>
    </row>
    <row r="30" spans="1:7" x14ac:dyDescent="0.3">
      <c r="A30" s="30" t="s">
        <v>28</v>
      </c>
      <c r="C30">
        <v>1</v>
      </c>
      <c r="G30">
        <v>1</v>
      </c>
    </row>
    <row r="31" spans="1:7" x14ac:dyDescent="0.3">
      <c r="A31" s="30" t="s">
        <v>35</v>
      </c>
      <c r="B31">
        <v>1</v>
      </c>
      <c r="G31">
        <v>1</v>
      </c>
    </row>
    <row r="32" spans="1:7" x14ac:dyDescent="0.3">
      <c r="A32" s="30" t="s">
        <v>23</v>
      </c>
      <c r="B32">
        <v>1</v>
      </c>
      <c r="G32">
        <v>1</v>
      </c>
    </row>
    <row r="33" spans="1:7" x14ac:dyDescent="0.3">
      <c r="A33" s="30" t="s">
        <v>24</v>
      </c>
      <c r="B33">
        <v>1</v>
      </c>
      <c r="G33">
        <v>1</v>
      </c>
    </row>
    <row r="34" spans="1:7" x14ac:dyDescent="0.3">
      <c r="A34" s="30" t="s">
        <v>29</v>
      </c>
      <c r="C34">
        <v>1</v>
      </c>
      <c r="G34">
        <v>1</v>
      </c>
    </row>
    <row r="35" spans="1:7" x14ac:dyDescent="0.3">
      <c r="A35" s="30" t="s">
        <v>223</v>
      </c>
    </row>
    <row r="36" spans="1:7" x14ac:dyDescent="0.3">
      <c r="A36" s="30" t="s">
        <v>220</v>
      </c>
      <c r="B36">
        <v>15</v>
      </c>
      <c r="C36">
        <v>4</v>
      </c>
      <c r="D36">
        <v>7</v>
      </c>
      <c r="E36">
        <v>4</v>
      </c>
      <c r="G36">
        <v>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A4F2-554F-4CDA-B15A-B23784D283E1}">
  <dimension ref="A1:W1"/>
  <sheetViews>
    <sheetView showGridLines="0" workbookViewId="0">
      <selection activeCell="AA22" sqref="AA22"/>
    </sheetView>
  </sheetViews>
  <sheetFormatPr defaultRowHeight="14.4" x14ac:dyDescent="0.3"/>
  <cols>
    <col min="1" max="16384" width="8.88671875" style="31"/>
  </cols>
  <sheetData>
    <row r="1" spans="1:23" ht="18" x14ac:dyDescent="0.35">
      <c r="A1" s="33" t="s">
        <v>229</v>
      </c>
      <c r="B1" s="33"/>
      <c r="C1" s="33"/>
      <c r="D1" s="33"/>
      <c r="E1" s="33"/>
      <c r="F1" s="33"/>
      <c r="G1" s="33"/>
      <c r="H1" s="33"/>
      <c r="I1" s="33"/>
      <c r="J1" s="33"/>
      <c r="K1" s="33"/>
      <c r="L1" s="33"/>
      <c r="M1" s="33"/>
      <c r="N1" s="33"/>
      <c r="O1" s="33"/>
      <c r="P1" s="33"/>
      <c r="Q1" s="33"/>
      <c r="R1" s="33"/>
      <c r="S1" s="33"/>
      <c r="T1" s="33"/>
      <c r="U1" s="33"/>
      <c r="V1" s="33"/>
      <c r="W1" s="33"/>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AC3D-37FD-41D7-BDBB-A962CBE299B2}">
  <dimension ref="A1:H32"/>
  <sheetViews>
    <sheetView zoomScale="86" workbookViewId="0">
      <selection activeCell="G7" sqref="G7"/>
    </sheetView>
  </sheetViews>
  <sheetFormatPr defaultRowHeight="14.4" x14ac:dyDescent="0.3"/>
  <cols>
    <col min="1" max="1" width="46.77734375" customWidth="1"/>
    <col min="2" max="7" width="25.77734375" customWidth="1"/>
    <col min="8" max="8" width="25.77734375" style="20" customWidth="1"/>
  </cols>
  <sheetData>
    <row r="1" spans="1:8" ht="15.6" x14ac:dyDescent="0.3">
      <c r="A1" s="32" t="s">
        <v>0</v>
      </c>
      <c r="B1" s="32" t="s">
        <v>1</v>
      </c>
      <c r="C1" s="32" t="s">
        <v>2</v>
      </c>
      <c r="D1" s="32" t="s">
        <v>230</v>
      </c>
      <c r="E1" s="32" t="s">
        <v>7</v>
      </c>
      <c r="F1" s="32" t="s">
        <v>8</v>
      </c>
      <c r="G1" s="32" t="s">
        <v>172</v>
      </c>
      <c r="H1" s="32" t="s">
        <v>231</v>
      </c>
    </row>
    <row r="2" spans="1:8" x14ac:dyDescent="0.3">
      <c r="A2" s="5" t="str">
        <f>Calculation!A2</f>
        <v>A.V.P COLLEGE OF ARTS AND SCIENCE</v>
      </c>
      <c r="B2" s="4" t="str">
        <f>Calculation!B2</f>
        <v>TIRUPUR</v>
      </c>
      <c r="C2" s="4" t="str">
        <f>Calculation!C2</f>
        <v>PRIVATE</v>
      </c>
      <c r="D2" s="20">
        <f>Calculation!F2</f>
        <v>792500</v>
      </c>
      <c r="E2" s="7">
        <f>Calculation!I2</f>
        <v>70</v>
      </c>
      <c r="F2" s="7">
        <f>Calculation!H2</f>
        <v>1.4</v>
      </c>
      <c r="G2" s="20">
        <f>Calculation!J2</f>
        <v>0.17665615141955837</v>
      </c>
      <c r="H2" s="20" t="s">
        <v>232</v>
      </c>
    </row>
    <row r="3" spans="1:8" x14ac:dyDescent="0.3">
      <c r="A3" s="5" t="str">
        <f>Calculation!A3</f>
        <v>PARK'S COLLEGE</v>
      </c>
      <c r="B3" s="4" t="str">
        <f>Calculation!B3</f>
        <v>TIRUPUR</v>
      </c>
      <c r="C3" s="4" t="str">
        <f>Calculation!C3</f>
        <v>PRIVATE</v>
      </c>
      <c r="D3" s="20">
        <f>Calculation!F3</f>
        <v>128000</v>
      </c>
      <c r="E3" s="7">
        <f>Calculation!I3</f>
        <v>72.5</v>
      </c>
      <c r="F3" s="7">
        <f>Calculation!H3</f>
        <v>1.29</v>
      </c>
      <c r="G3" s="20">
        <f>Calculation!J3</f>
        <v>1.0078125</v>
      </c>
      <c r="H3" s="20" t="s">
        <v>232</v>
      </c>
    </row>
    <row r="4" spans="1:8" x14ac:dyDescent="0.3">
      <c r="A4" s="5" t="str">
        <f>Calculation!A4</f>
        <v>CHERAN COLLEGE OF ARTS AND SCIENCE</v>
      </c>
      <c r="B4" s="4" t="str">
        <f>Calculation!B4</f>
        <v>TIRUPUR</v>
      </c>
      <c r="C4" s="4" t="str">
        <f>Calculation!C4</f>
        <v>PRIVATE</v>
      </c>
      <c r="D4" s="20">
        <f>Calculation!F4</f>
        <v>105000</v>
      </c>
      <c r="E4" s="7">
        <f>Calculation!I4</f>
        <v>75</v>
      </c>
      <c r="F4" s="7">
        <f>Calculation!H4</f>
        <v>3</v>
      </c>
      <c r="G4" s="20">
        <f>Calculation!J4</f>
        <v>2.8571428571428572</v>
      </c>
      <c r="H4" s="20" t="s">
        <v>232</v>
      </c>
    </row>
    <row r="5" spans="1:8" x14ac:dyDescent="0.3">
      <c r="A5" s="5" t="str">
        <f>Calculation!A5</f>
        <v>LRG COLLEGE OF ARTS AND SCIENCE FOR WOMEN</v>
      </c>
      <c r="B5" s="4" t="str">
        <f>Calculation!B5</f>
        <v>TIRUPUR</v>
      </c>
      <c r="C5" s="4" t="str">
        <f>Calculation!C5</f>
        <v>GOVERNMENT</v>
      </c>
      <c r="D5" s="20">
        <f>Calculation!F5</f>
        <v>6300</v>
      </c>
      <c r="E5" s="7">
        <f>Calculation!I5</f>
        <v>70</v>
      </c>
      <c r="F5" s="7">
        <f>Calculation!H5</f>
        <v>1.5</v>
      </c>
      <c r="G5" s="20">
        <f>Calculation!J5</f>
        <v>23.80952380952381</v>
      </c>
      <c r="H5" s="20" t="s">
        <v>233</v>
      </c>
    </row>
    <row r="6" spans="1:8" x14ac:dyDescent="0.3">
      <c r="A6" s="5" t="str">
        <f>Calculation!A6</f>
        <v>CHIKKANNA ARTS COLLEGE</v>
      </c>
      <c r="B6" s="4" t="str">
        <f>Calculation!B6</f>
        <v>TIRUPUR</v>
      </c>
      <c r="C6" s="4" t="str">
        <f>Calculation!C6</f>
        <v>GOVERNMENT</v>
      </c>
      <c r="D6" s="20">
        <f>Calculation!F6</f>
        <v>5745</v>
      </c>
      <c r="E6" s="7">
        <f>Calculation!I6</f>
        <v>88</v>
      </c>
      <c r="F6" s="7">
        <f>Calculation!H6</f>
        <v>1.84</v>
      </c>
      <c r="G6" s="20">
        <f>Calculation!J6</f>
        <v>32.027850304612706</v>
      </c>
      <c r="H6" s="20" t="s">
        <v>233</v>
      </c>
    </row>
    <row r="7" spans="1:8" x14ac:dyDescent="0.3">
      <c r="A7" s="5" t="str">
        <f>Calculation!A7</f>
        <v>LOYOLA COLLEGE</v>
      </c>
      <c r="B7" s="4" t="str">
        <f>Calculation!B7</f>
        <v>CHENNAI</v>
      </c>
      <c r="C7" s="4" t="str">
        <f>Calculation!C7</f>
        <v>AUTONOMOUS</v>
      </c>
      <c r="D7" s="20">
        <f>Calculation!F7</f>
        <v>321500</v>
      </c>
      <c r="E7" s="7">
        <f>Calculation!I7</f>
        <v>95</v>
      </c>
      <c r="F7" s="7">
        <f>Calculation!H7</f>
        <v>6.34</v>
      </c>
      <c r="G7" s="20">
        <f>Calculation!J7</f>
        <v>1.9720062208398135</v>
      </c>
      <c r="H7" s="20" t="s">
        <v>233</v>
      </c>
    </row>
    <row r="8" spans="1:8" x14ac:dyDescent="0.3">
      <c r="A8" s="5" t="str">
        <f>Calculation!A8</f>
        <v>PSG COLLEGE OF ARTS AND SCIENCE</v>
      </c>
      <c r="B8" s="4" t="str">
        <f>Calculation!B8</f>
        <v>COIMBATORE</v>
      </c>
      <c r="C8" s="4" t="str">
        <f>Calculation!C8</f>
        <v>AUTONOMOUS</v>
      </c>
      <c r="D8" s="20">
        <f>Calculation!F8</f>
        <v>195000</v>
      </c>
      <c r="E8" s="7">
        <f>Calculation!I8</f>
        <v>83</v>
      </c>
      <c r="F8" s="7">
        <f>Calculation!H8</f>
        <v>3.83</v>
      </c>
      <c r="G8" s="20">
        <f>Calculation!J8</f>
        <v>1.964102564102564</v>
      </c>
      <c r="H8" s="20" t="s">
        <v>233</v>
      </c>
    </row>
    <row r="9" spans="1:8" x14ac:dyDescent="0.3">
      <c r="A9" s="5" t="str">
        <f>Calculation!A9</f>
        <v>Dr.N.G.P COLEEGE OF ARTS AND SCIENCE</v>
      </c>
      <c r="B9" s="4" t="str">
        <f>Calculation!B9</f>
        <v>COIMBATORE</v>
      </c>
      <c r="C9" s="4" t="str">
        <f>Calculation!C9</f>
        <v>AUTONOMOUS</v>
      </c>
      <c r="D9" s="20">
        <f>Calculation!F9</f>
        <v>225000</v>
      </c>
      <c r="E9" s="7">
        <f>Calculation!I9</f>
        <v>90</v>
      </c>
      <c r="F9" s="7">
        <f>Calculation!H9</f>
        <v>3.7</v>
      </c>
      <c r="G9" s="20">
        <f>Calculation!J9</f>
        <v>1.6444444444444444</v>
      </c>
      <c r="H9" s="20" t="s">
        <v>233</v>
      </c>
    </row>
    <row r="10" spans="1:8" x14ac:dyDescent="0.3">
      <c r="A10" s="5" t="str">
        <f>Calculation!A10</f>
        <v>AMERICAN COLLEGE</v>
      </c>
      <c r="B10" s="4" t="str">
        <f>Calculation!B10</f>
        <v>MADURAI</v>
      </c>
      <c r="C10" s="4" t="str">
        <f>Calculation!C10</f>
        <v>AUTONOMOUS</v>
      </c>
      <c r="D10" s="20">
        <f>Calculation!F10</f>
        <v>143500</v>
      </c>
      <c r="E10" s="7">
        <f>Calculation!I10</f>
        <v>60</v>
      </c>
      <c r="F10" s="7">
        <f>Calculation!H10</f>
        <v>2.1</v>
      </c>
      <c r="G10" s="20">
        <f>Calculation!J10</f>
        <v>1.4634146341463414</v>
      </c>
      <c r="H10" s="20" t="s">
        <v>232</v>
      </c>
    </row>
    <row r="11" spans="1:8" x14ac:dyDescent="0.3">
      <c r="A11" s="5" t="str">
        <f>Calculation!A11</f>
        <v>MADRAS CHRISTIAN COLLEGE</v>
      </c>
      <c r="B11" s="4" t="str">
        <f>Calculation!B11</f>
        <v>CHENGALPATTU</v>
      </c>
      <c r="C11" s="4" t="str">
        <f>Calculation!C11</f>
        <v>AUTONOMOUS</v>
      </c>
      <c r="D11" s="20">
        <f>Calculation!F11</f>
        <v>146880</v>
      </c>
      <c r="E11" s="7">
        <f>Calculation!I11</f>
        <v>90</v>
      </c>
      <c r="F11" s="7">
        <f>Calculation!H11</f>
        <v>3.6</v>
      </c>
      <c r="G11" s="20">
        <f>Calculation!J11</f>
        <v>2.4509803921568629</v>
      </c>
      <c r="H11" s="20" t="s">
        <v>233</v>
      </c>
    </row>
    <row r="12" spans="1:8" x14ac:dyDescent="0.3">
      <c r="A12" s="5" t="str">
        <f>Calculation!A12</f>
        <v>STELLA MARIS COLLEGE</v>
      </c>
      <c r="B12" s="4" t="str">
        <f>Calculation!B12</f>
        <v>CHENNAI</v>
      </c>
      <c r="C12" s="4" t="str">
        <f>Calculation!C12</f>
        <v>AUTONOMOUS</v>
      </c>
      <c r="D12" s="20">
        <f>Calculation!F12</f>
        <v>165000</v>
      </c>
      <c r="E12" s="7">
        <f>Calculation!I12</f>
        <v>45</v>
      </c>
      <c r="F12" s="7">
        <f>Calculation!H12</f>
        <v>4.5999999999999996</v>
      </c>
      <c r="G12" s="20">
        <f>Calculation!J12</f>
        <v>2.7878787878787876</v>
      </c>
      <c r="H12" s="20" t="s">
        <v>232</v>
      </c>
    </row>
    <row r="13" spans="1:8" x14ac:dyDescent="0.3">
      <c r="A13" s="5" t="str">
        <f>Calculation!A13</f>
        <v>AVINASHI GOVERNMENT ARTS AND SCIENCE COLLEGE</v>
      </c>
      <c r="B13" s="4" t="str">
        <f>Calculation!B13</f>
        <v>TIRUPUR</v>
      </c>
      <c r="C13" s="4" t="str">
        <f>Calculation!C13</f>
        <v>GOVERNMENT</v>
      </c>
      <c r="D13" s="20">
        <f>Calculation!F13</f>
        <v>7500</v>
      </c>
      <c r="E13" s="7">
        <f>Calculation!I13</f>
        <v>49</v>
      </c>
      <c r="F13" s="7">
        <f>Calculation!H13</f>
        <v>1.56</v>
      </c>
      <c r="G13" s="20">
        <f>Calculation!J13</f>
        <v>20.8</v>
      </c>
      <c r="H13" s="20" t="s">
        <v>233</v>
      </c>
    </row>
    <row r="14" spans="1:8" x14ac:dyDescent="0.3">
      <c r="A14" s="5" t="str">
        <f>Calculation!A14</f>
        <v>A.G COLLEGE OF ARTS AND SCIENCE</v>
      </c>
      <c r="B14" s="4" t="str">
        <f>Calculation!B14</f>
        <v>TIRUPUR</v>
      </c>
      <c r="C14" s="4" t="str">
        <f>Calculation!C14</f>
        <v>PRIVATE</v>
      </c>
      <c r="D14" s="20">
        <f>Calculation!F14</f>
        <v>60000</v>
      </c>
      <c r="E14" s="7">
        <f>Calculation!I14</f>
        <v>83</v>
      </c>
      <c r="F14" s="7">
        <f>Calculation!H14</f>
        <v>1.5</v>
      </c>
      <c r="G14" s="20">
        <f>Calculation!J14</f>
        <v>2.5</v>
      </c>
      <c r="H14" s="20" t="s">
        <v>233</v>
      </c>
    </row>
    <row r="15" spans="1:8" x14ac:dyDescent="0.3">
      <c r="A15" s="5" t="str">
        <f>Calculation!A15</f>
        <v>KONGUNADU COLLEGE OF ARTS  AND SCIENCE</v>
      </c>
      <c r="B15" s="4" t="str">
        <f>Calculation!B15</f>
        <v>COIMBATORE</v>
      </c>
      <c r="C15" s="4" t="str">
        <f>Calculation!C15</f>
        <v>AUTONOMOUS</v>
      </c>
      <c r="D15" s="20">
        <f>Calculation!F15</f>
        <v>155000</v>
      </c>
      <c r="E15" s="7">
        <f>Calculation!I15</f>
        <v>95</v>
      </c>
      <c r="F15" s="7">
        <f>Calculation!H15</f>
        <v>4</v>
      </c>
      <c r="G15" s="20">
        <f>Calculation!J15</f>
        <v>2.5806451612903225</v>
      </c>
      <c r="H15" s="20" t="s">
        <v>233</v>
      </c>
    </row>
    <row r="16" spans="1:8" x14ac:dyDescent="0.3">
      <c r="A16" s="5" t="str">
        <f>Calculation!A16</f>
        <v>THIAGARAJAR COLLEGE</v>
      </c>
      <c r="B16" s="4" t="str">
        <f>Calculation!B16</f>
        <v>MADURAI</v>
      </c>
      <c r="C16" s="4" t="str">
        <f>Calculation!C16</f>
        <v>AUTONOMOUS</v>
      </c>
      <c r="D16" s="20">
        <f>Calculation!F16</f>
        <v>156000</v>
      </c>
      <c r="E16" s="7">
        <f>Calculation!I16</f>
        <v>83</v>
      </c>
      <c r="F16" s="7">
        <f>Calculation!H16</f>
        <v>3.4</v>
      </c>
      <c r="G16" s="20">
        <f>Calculation!J16</f>
        <v>2.1794871794871793</v>
      </c>
      <c r="H16" s="20" t="s">
        <v>233</v>
      </c>
    </row>
    <row r="17" spans="1:8" x14ac:dyDescent="0.3">
      <c r="A17" s="5" t="str">
        <f>Calculation!A17</f>
        <v>BUILDER ENGINEERING COLLEGE</v>
      </c>
      <c r="B17" s="4" t="str">
        <f>Calculation!B17</f>
        <v>TIRUPUR</v>
      </c>
      <c r="C17" s="4" t="str">
        <f>Calculation!C17</f>
        <v>AUTONOMOUS</v>
      </c>
      <c r="D17" s="20">
        <f>Calculation!F17</f>
        <v>284000</v>
      </c>
      <c r="E17" s="7">
        <f>Calculation!I17</f>
        <v>79</v>
      </c>
      <c r="F17" s="7">
        <f>Calculation!H17</f>
        <v>4</v>
      </c>
      <c r="G17" s="20">
        <f>Calculation!J17</f>
        <v>1.408450704225352</v>
      </c>
      <c r="H17" s="20" t="s">
        <v>232</v>
      </c>
    </row>
    <row r="18" spans="1:8" x14ac:dyDescent="0.3">
      <c r="A18" s="5" t="str">
        <f>Calculation!A18</f>
        <v>KPR ENGINEERING AND TECHNOLOGY COLLEGE</v>
      </c>
      <c r="B18" s="4" t="str">
        <f>Calculation!B18</f>
        <v>COIMBATORE</v>
      </c>
      <c r="C18" s="4" t="str">
        <f>Calculation!C18</f>
        <v>AUTONOMOUS</v>
      </c>
      <c r="D18" s="20">
        <f>Calculation!F18</f>
        <v>343800</v>
      </c>
      <c r="E18" s="7">
        <f>Calculation!I18</f>
        <v>92</v>
      </c>
      <c r="F18" s="7">
        <f>Calculation!H18</f>
        <v>5.2</v>
      </c>
      <c r="G18" s="20">
        <f>Calculation!J18</f>
        <v>1.5125072716695753</v>
      </c>
      <c r="H18" s="20" t="s">
        <v>233</v>
      </c>
    </row>
    <row r="19" spans="1:8" x14ac:dyDescent="0.3">
      <c r="A19" s="5" t="str">
        <f>Calculation!A19</f>
        <v>AMRITA VISHWA VIDYAPEETHAM</v>
      </c>
      <c r="B19" s="4" t="str">
        <f>Calculation!B19</f>
        <v>COIMBATORE</v>
      </c>
      <c r="C19" s="4" t="str">
        <f>Calculation!C19</f>
        <v>DEEMED UNIVERSITY</v>
      </c>
      <c r="D19" s="20">
        <f>Calculation!F19</f>
        <v>171000</v>
      </c>
      <c r="E19" s="7">
        <f>Calculation!I19</f>
        <v>94</v>
      </c>
      <c r="F19" s="7">
        <f>Calculation!H19</f>
        <v>9.08</v>
      </c>
      <c r="G19" s="20">
        <f>Calculation!J19</f>
        <v>5.3099415204678362</v>
      </c>
      <c r="H19" s="20" t="s">
        <v>233</v>
      </c>
    </row>
    <row r="20" spans="1:8" x14ac:dyDescent="0.3">
      <c r="A20" s="5" t="str">
        <f>Calculation!A20</f>
        <v>KUMARAGURU COLLEGE OF TECHNOLOGY</v>
      </c>
      <c r="B20" s="4" t="str">
        <f>Calculation!B20</f>
        <v>COIMBATORE</v>
      </c>
      <c r="C20" s="4" t="str">
        <f>Calculation!C20</f>
        <v>AUTONOMOUS</v>
      </c>
      <c r="D20" s="20">
        <f>Calculation!F20</f>
        <v>454900</v>
      </c>
      <c r="E20" s="7">
        <f>Calculation!I20</f>
        <v>78</v>
      </c>
      <c r="F20" s="7">
        <f>Calculation!H20</f>
        <v>5.7</v>
      </c>
      <c r="G20" s="20">
        <f>Calculation!J20</f>
        <v>1.2530226423389756</v>
      </c>
      <c r="H20" s="20" t="s">
        <v>233</v>
      </c>
    </row>
    <row r="21" spans="1:8" x14ac:dyDescent="0.3">
      <c r="A21" s="5" t="str">
        <f>Calculation!A21</f>
        <v>BANNARI AMMAN INSTITUTE OF TECHNOLOGY</v>
      </c>
      <c r="B21" s="4" t="str">
        <f>Calculation!B21</f>
        <v>ERODE</v>
      </c>
      <c r="C21" s="4" t="str">
        <f>Calculation!C21</f>
        <v>AUTONOMOUS</v>
      </c>
      <c r="D21" s="20">
        <f>Calculation!F21</f>
        <v>250000</v>
      </c>
      <c r="E21" s="7">
        <f>Calculation!I21</f>
        <v>93</v>
      </c>
      <c r="F21" s="7">
        <f>Calculation!H21</f>
        <v>5.16</v>
      </c>
      <c r="G21" s="20">
        <f>Calculation!J21</f>
        <v>2.0640000000000001</v>
      </c>
      <c r="H21" s="20" t="s">
        <v>233</v>
      </c>
    </row>
    <row r="22" spans="1:8" x14ac:dyDescent="0.3">
      <c r="A22" s="5" t="str">
        <f>Calculation!A22</f>
        <v>GOVERNMENT COLLEGE OF TECHNOLOGY</v>
      </c>
      <c r="B22" s="4" t="str">
        <f>Calculation!B22</f>
        <v>COIMBATORE</v>
      </c>
      <c r="C22" s="4" t="str">
        <f>Calculation!C22</f>
        <v>GOVERNMENT</v>
      </c>
      <c r="D22" s="20">
        <f>Calculation!F22</f>
        <v>473300</v>
      </c>
      <c r="E22" s="7">
        <f>Calculation!I22</f>
        <v>78</v>
      </c>
      <c r="F22" s="7">
        <f>Calculation!H22</f>
        <v>6</v>
      </c>
      <c r="G22" s="20">
        <f>Calculation!J22</f>
        <v>1.2676949080921192</v>
      </c>
      <c r="H22" s="20" t="s">
        <v>233</v>
      </c>
    </row>
    <row r="23" spans="1:8" x14ac:dyDescent="0.3">
      <c r="A23" s="5" t="str">
        <f>Calculation!A23</f>
        <v>ANNA UNIVERSITY, CEG CAMPUS</v>
      </c>
      <c r="B23" s="4" t="str">
        <f>Calculation!B23</f>
        <v>CHENNAI</v>
      </c>
      <c r="C23" s="4" t="str">
        <f>Calculation!C23</f>
        <v>GOVERNMENT</v>
      </c>
      <c r="D23" s="20">
        <f>Calculation!F23</f>
        <v>170600</v>
      </c>
      <c r="E23" s="7">
        <f>Calculation!I23</f>
        <v>69</v>
      </c>
      <c r="F23" s="7">
        <f>Calculation!H23</f>
        <v>9.84</v>
      </c>
      <c r="G23" s="20">
        <f>Calculation!J23</f>
        <v>5.7678780773739744</v>
      </c>
      <c r="H23" s="20" t="s">
        <v>233</v>
      </c>
    </row>
    <row r="24" spans="1:8" x14ac:dyDescent="0.3">
      <c r="A24" s="5" t="str">
        <f>Calculation!A24</f>
        <v>NANDHA ENGINEERING COLLEGE</v>
      </c>
      <c r="B24" s="4" t="str">
        <f>Calculation!B24</f>
        <v>ERODE</v>
      </c>
      <c r="C24" s="4" t="str">
        <f>Calculation!C24</f>
        <v>AUTONOMOUS</v>
      </c>
      <c r="D24" s="20">
        <f>Calculation!F24</f>
        <v>518000</v>
      </c>
      <c r="E24" s="7">
        <f>Calculation!I24</f>
        <v>89</v>
      </c>
      <c r="F24" s="7">
        <f>Calculation!H24</f>
        <v>4.1399999999999997</v>
      </c>
      <c r="G24" s="20">
        <f>Calculation!J24</f>
        <v>0.79922779922779907</v>
      </c>
      <c r="H24" s="20" t="s">
        <v>233</v>
      </c>
    </row>
    <row r="25" spans="1:8" x14ac:dyDescent="0.3">
      <c r="A25" s="5" t="str">
        <f>Calculation!A25</f>
        <v>SATHYABAMA SCIENCE AND TECHNOLOGY</v>
      </c>
      <c r="B25" s="4" t="str">
        <f>Calculation!B25</f>
        <v>CHENNAI</v>
      </c>
      <c r="C25" s="4" t="str">
        <f>Calculation!C25</f>
        <v>DEEMED UNIVERSITY</v>
      </c>
      <c r="D25" s="20">
        <f>Calculation!F25</f>
        <v>1010000</v>
      </c>
      <c r="E25" s="7" t="str">
        <f>Calculation!I25</f>
        <v>49</v>
      </c>
      <c r="F25" s="7">
        <f>Calculation!H25</f>
        <v>5.57</v>
      </c>
      <c r="G25" s="20">
        <f>Calculation!J25</f>
        <v>0.55148514851485153</v>
      </c>
      <c r="H25" s="20" t="s">
        <v>233</v>
      </c>
    </row>
    <row r="26" spans="1:8" x14ac:dyDescent="0.3">
      <c r="A26" s="5" t="str">
        <f>Calculation!A26</f>
        <v>VEL TECH</v>
      </c>
      <c r="B26" s="4" t="str">
        <f>Calculation!B26</f>
        <v>CHENNAI</v>
      </c>
      <c r="C26" s="4" t="str">
        <f>Calculation!C26</f>
        <v>DEEMED UNIVERSITY</v>
      </c>
      <c r="D26" s="20">
        <f>Calculation!F26</f>
        <v>1390000</v>
      </c>
      <c r="E26" s="7">
        <f>Calculation!I26</f>
        <v>70</v>
      </c>
      <c r="F26" s="7">
        <f>Calculation!H26</f>
        <v>5.5</v>
      </c>
      <c r="G26" s="20">
        <f>Calculation!J26</f>
        <v>0.39568345323741005</v>
      </c>
      <c r="H26" s="20" t="s">
        <v>232</v>
      </c>
    </row>
    <row r="27" spans="1:8" x14ac:dyDescent="0.3">
      <c r="A27" s="5" t="str">
        <f>Calculation!A27</f>
        <v>PSG TECHNOLOGY AND APPLIED RESEARCH</v>
      </c>
      <c r="B27" s="4" t="str">
        <f>Calculation!B27</f>
        <v>COIMBATORE</v>
      </c>
      <c r="C27" s="4" t="str">
        <f>Calculation!C27</f>
        <v>AUTONOMOUS</v>
      </c>
      <c r="D27" s="20">
        <f>Calculation!F27</f>
        <v>550000</v>
      </c>
      <c r="E27" s="7">
        <f>Calculation!I27</f>
        <v>90</v>
      </c>
      <c r="F27" s="7">
        <f>Calculation!H27</f>
        <v>7.96</v>
      </c>
      <c r="G27" s="20">
        <f>Calculation!J27</f>
        <v>1.4472727272727273</v>
      </c>
      <c r="H27" s="20" t="s">
        <v>233</v>
      </c>
    </row>
    <row r="28" spans="1:8" x14ac:dyDescent="0.3">
      <c r="A28" s="5" t="str">
        <f>Calculation!A28</f>
        <v>SSN COLLEGE OF ENGINEERING</v>
      </c>
      <c r="B28" s="4" t="str">
        <f>Calculation!B28</f>
        <v>CHENGALPATTU</v>
      </c>
      <c r="C28" s="4" t="str">
        <f>Calculation!C28</f>
        <v>AUTONOMOUS</v>
      </c>
      <c r="D28" s="20">
        <f>Calculation!F28</f>
        <v>890000</v>
      </c>
      <c r="E28" s="7">
        <f>Calculation!I28</f>
        <v>95</v>
      </c>
      <c r="F28" s="7">
        <f>Calculation!H28</f>
        <v>10.5</v>
      </c>
      <c r="G28" s="20">
        <f>Calculation!J28</f>
        <v>1.1797752808988764</v>
      </c>
      <c r="H28" s="20" t="s">
        <v>233</v>
      </c>
    </row>
    <row r="29" spans="1:8" x14ac:dyDescent="0.3">
      <c r="A29" s="5" t="str">
        <f>Calculation!A29</f>
        <v>NATIONAL INSTITUTE OF TECHNOLOGY</v>
      </c>
      <c r="B29" s="4" t="str">
        <f>Calculation!B29</f>
        <v>TIRUCHIRAPPALLI</v>
      </c>
      <c r="C29" s="4" t="str">
        <f>Calculation!C29</f>
        <v>GOVERNMENT</v>
      </c>
      <c r="D29" s="20">
        <f>Calculation!F29</f>
        <v>912500</v>
      </c>
      <c r="E29" s="7">
        <f>Calculation!I29</f>
        <v>89</v>
      </c>
      <c r="F29" s="7">
        <f>Calculation!H29</f>
        <v>18.73</v>
      </c>
      <c r="G29" s="20">
        <f>Calculation!J29</f>
        <v>2.0526027397260274</v>
      </c>
      <c r="H29" s="20" t="s">
        <v>233</v>
      </c>
    </row>
    <row r="30" spans="1:8" x14ac:dyDescent="0.3">
      <c r="A30" s="5" t="str">
        <f>Calculation!A30</f>
        <v>KALASALINGAM ACADEMY OF RESEARCH AND EDUCATION</v>
      </c>
      <c r="B30" s="4" t="str">
        <f>Calculation!B30</f>
        <v>VIRUDHUNAGAR</v>
      </c>
      <c r="C30" s="4" t="str">
        <f>Calculation!C30</f>
        <v>DEEMED UNIVERSITY</v>
      </c>
      <c r="D30" s="20">
        <f>Calculation!F30</f>
        <v>710000</v>
      </c>
      <c r="E30" s="7">
        <f>Calculation!I30</f>
        <v>94</v>
      </c>
      <c r="F30" s="7">
        <f>Calculation!H30</f>
        <v>4.5</v>
      </c>
      <c r="G30" s="20">
        <f>Calculation!J30</f>
        <v>0.63380281690140849</v>
      </c>
      <c r="H30" s="20" t="s">
        <v>233</v>
      </c>
    </row>
    <row r="31" spans="1:8" x14ac:dyDescent="0.3">
      <c r="A31" s="5" t="str">
        <f>Calculation!A31</f>
        <v>INDIAN INSTITUTE OF TECHNOLOGY MADRAS</v>
      </c>
      <c r="B31" s="4" t="str">
        <f>Calculation!B31</f>
        <v>CHENNAI</v>
      </c>
      <c r="C31" s="4" t="str">
        <f>Calculation!C31</f>
        <v>GOVERNMENT</v>
      </c>
      <c r="D31" s="20">
        <f>Calculation!F31</f>
        <v>917000</v>
      </c>
      <c r="E31" s="7">
        <f>Calculation!I31</f>
        <v>90</v>
      </c>
      <c r="F31" s="7">
        <f>Calculation!H31</f>
        <v>24.2</v>
      </c>
      <c r="G31" s="20">
        <f>Calculation!J31</f>
        <v>2.6390403489640133</v>
      </c>
      <c r="H31" s="20" t="s">
        <v>233</v>
      </c>
    </row>
    <row r="32" spans="1:8" x14ac:dyDescent="0.3">
      <c r="E3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Calculation</vt:lpstr>
      <vt:lpstr>District-wise college count1</vt:lpstr>
      <vt:lpstr>Type-wise Average placement2</vt:lpstr>
      <vt:lpstr>Top 10 ROI colleges3</vt:lpstr>
      <vt:lpstr>Type-wise Average fees4</vt:lpstr>
      <vt:lpstr>District-wise Average package5</vt:lpstr>
      <vt:lpstr>College Type-wise college count</vt:lpstr>
      <vt:lpstr>Dashboard</vt:lpstr>
      <vt:lpstr>Recommendation data_sheet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Dhanasree C</dc:creator>
  <cp:lastModifiedBy>Dhanasree C</cp:lastModifiedBy>
  <dcterms:created xsi:type="dcterms:W3CDTF">2026-10-11T02:22:06Z</dcterms:created>
  <dcterms:modified xsi:type="dcterms:W3CDTF">2026-10-17T13:22:32Z</dcterms:modified>
</cp:coreProperties>
</file>